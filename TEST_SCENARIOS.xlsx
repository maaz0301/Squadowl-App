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Summary" sheetId="2" state="visible" r:id="rId2"/>
    <sheet name="All tests" sheetId="3" state="visible" r:id="rId3"/>
  </sheets>
  <definedNames>
    <definedName name="_xlnm._FilterDatabase" localSheetId="2" hidden="1">'All tests'!$A$1:$M$635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b val="1"/>
      <color rgb="00FFFFFF"/>
    </font>
    <font>
      <b val="1"/>
    </font>
  </fonts>
  <fills count="3">
    <fill>
      <patternFill/>
    </fill>
    <fill>
      <patternFill patternType="gray125"/>
    </fill>
    <fill>
      <patternFill patternType="solid">
        <f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pivotButton="0" quotePrefix="0" xfId="0"/>
    <xf numFmtId="0" fontId="0" fillId="0" borderId="1" pivotButton="0" quotePrefix="0" xfId="0"/>
    <xf numFmtId="9" fontId="0" fillId="0" borderId="1" pivotButton="0" quotePrefix="0" xfId="0"/>
    <xf numFmtId="0" fontId="4" fillId="0" borderId="0" pivotButton="0" quotePrefix="0" xfId="0"/>
    <xf numFmtId="9" fontId="4" fillId="0" borderId="0" pivotButton="0" quotePrefix="0" xfId="0"/>
    <xf numFmtId="0" fontId="3"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dxfs count="3">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8" customWidth="1" min="1" max="1"/>
    <col width="110" customWidth="1" min="2" max="2"/>
  </cols>
  <sheetData>
    <row r="1">
      <c r="A1" s="1" t="inlineStr">
        <is>
          <t>TryoutHQ - Test Scenarios</t>
        </is>
      </c>
      <c r="B1" s="2" t="inlineStr"/>
    </row>
    <row r="2">
      <c r="A2" s="3" t="inlineStr"/>
      <c r="B2" s="2" t="inlineStr"/>
    </row>
    <row r="3">
      <c r="A3" s="3" t="inlineStr">
        <is>
          <t>What this is</t>
        </is>
      </c>
      <c r="B3" s="2" t="inlineStr">
        <is>
          <t>One row per test case, generated from TEST_SCENARIOS.txt. The .txt stays the source of truth for the detailed wording.</t>
        </is>
      </c>
    </row>
    <row r="4">
      <c r="A4" s="3" t="inlineStr">
        <is>
          <t>How to run</t>
        </is>
      </c>
      <c r="B4" s="2" t="inlineStr">
        <is>
          <t>1) Run each "Before" case on the OLD build and write what you see in "Before result".  2) Run "After" and "Feature" cases on the NEW build and set Status.  3) Run every "Regression" case on the NEW build.</t>
        </is>
      </c>
    </row>
    <row r="5">
      <c r="A5" s="3" t="inlineStr">
        <is>
          <t>Status values</t>
        </is>
      </c>
      <c r="B5" s="2" t="inlineStr">
        <is>
          <t>Pass / Fail / Blocked / N/A (drop-down). Fail rows turn red, Pass rows green.</t>
        </is>
      </c>
    </row>
    <row r="6">
      <c r="A6" s="3" t="inlineStr">
        <is>
          <t>Phase</t>
        </is>
      </c>
      <c r="B6" s="2" t="inlineStr">
        <is>
          <t>Before = old-build baseline; After = expected result after a change; Feature = full-coverage suite (sections 25-50); Regression = safety net; General = setup/notes.</t>
        </is>
      </c>
    </row>
    <row r="7">
      <c r="A7" s="3" t="inlineStr">
        <is>
          <t>Verified (sim)</t>
        </is>
      </c>
      <c r="B7" s="2" t="inlineStr">
        <is>
          <t>Yes = already seen working in the iOS simulator by the developer. It still needs your own run, and Android is not verified for any row.</t>
        </is>
      </c>
    </row>
    <row r="8">
      <c r="A8" s="3" t="inlineStr">
        <is>
          <t>Tabs</t>
        </is>
      </c>
      <c r="B8" s="2" t="inlineStr">
        <is>
          <t>"All tests" = every case, filterable.  "Summary" = live counts per section (formulas).</t>
        </is>
      </c>
    </row>
    <row r="9">
      <c r="A9" s="3" t="inlineStr">
        <is>
          <t>Not built</t>
        </is>
      </c>
      <c r="B9" s="2" t="inlineStr">
        <is>
          <t>Section 19 (guardian shows under Team) is deferred; its rows are for the baseline only.</t>
        </is>
      </c>
    </row>
    <row r="10">
      <c r="A10" s="3" t="inlineStr">
        <is>
          <t>Payments</t>
        </is>
      </c>
      <c r="B10" s="2" t="inlineStr">
        <is>
          <t>Use Stripe TEST mode only. Never test with a real card.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2"/>
  <sheetViews>
    <sheetView workbookViewId="0">
      <pane ySplit="1" topLeftCell="A2" activePane="bottomLeft" state="frozen"/>
      <selection pane="bottomLeft" activeCell="A1" sqref="A1"/>
    </sheetView>
  </sheetViews>
  <sheetFormatPr baseColWidth="8" defaultRowHeight="15"/>
  <cols>
    <col width="9" customWidth="1" min="1" max="1"/>
    <col width="60" customWidth="1" min="2" max="2"/>
    <col width="8" customWidth="1" min="3" max="3"/>
    <col width="8" customWidth="1" min="4" max="4"/>
    <col width="8" customWidth="1" min="5" max="5"/>
    <col width="9" customWidth="1" min="6" max="6"/>
    <col width="8" customWidth="1" min="7" max="7"/>
    <col width="9" customWidth="1" min="8" max="8"/>
    <col width="9" customWidth="1" min="9" max="9"/>
  </cols>
  <sheetData>
    <row r="1">
      <c r="A1" s="4" t="inlineStr">
        <is>
          <t>Section</t>
        </is>
      </c>
      <c r="B1" s="4" t="inlineStr">
        <is>
          <t>Section title</t>
        </is>
      </c>
      <c r="C1" s="4" t="inlineStr">
        <is>
          <t>Total</t>
        </is>
      </c>
      <c r="D1" s="4" t="inlineStr">
        <is>
          <t>Pass</t>
        </is>
      </c>
      <c r="E1" s="4" t="inlineStr">
        <is>
          <t>Fail</t>
        </is>
      </c>
      <c r="F1" s="4" t="inlineStr">
        <is>
          <t>Blocked</t>
        </is>
      </c>
      <c r="G1" s="4" t="inlineStr">
        <is>
          <t>N/A</t>
        </is>
      </c>
      <c r="H1" s="4" t="inlineStr">
        <is>
          <t>Not run</t>
        </is>
      </c>
      <c r="I1" s="4" t="inlineStr">
        <is>
          <t>% done</t>
        </is>
      </c>
    </row>
    <row r="2">
      <c r="A2" s="5" t="n">
        <v>1</v>
      </c>
      <c r="B2" s="5" t="inlineStr">
        <is>
          <t>LOG OUT / DELETE ACCOUNT BLOCKED AT THE BOTTOM (Android)</t>
        </is>
      </c>
      <c r="C2" s="5">
        <f>COUNTIF('All tests'!$A:$A,A2)</f>
        <v/>
      </c>
      <c r="D2" s="5">
        <f>COUNTIFS('All tests'!$A:$A,$A2,'All tests'!$I:$I,"Pass")</f>
        <v/>
      </c>
      <c r="E2" s="5">
        <f>COUNTIFS('All tests'!$A:$A,$A2,'All tests'!$I:$I,"Fail")</f>
        <v/>
      </c>
      <c r="F2" s="5">
        <f>COUNTIFS('All tests'!$A:$A,$A2,'All tests'!$I:$I,"Blocked")</f>
        <v/>
      </c>
      <c r="G2" s="5">
        <f>COUNTIFS('All tests'!$A:$A,$A2,'All tests'!$I:$I,"N/A")</f>
        <v/>
      </c>
      <c r="H2" s="5">
        <f>C2-SUM(D2:G2)</f>
        <v/>
      </c>
      <c r="I2" s="6">
        <f>IF(C2=0,0,SUM(D2:G2)/C2)</f>
        <v/>
      </c>
    </row>
    <row r="3">
      <c r="A3" s="5" t="n">
        <v>2</v>
      </c>
      <c r="B3" s="5" t="inlineStr">
        <is>
          <t>EXCEL (.xlsx) IMPORT ONLY IMPORTS ONE NAME</t>
        </is>
      </c>
      <c r="C3" s="5">
        <f>COUNTIF('All tests'!$A:$A,A3)</f>
        <v/>
      </c>
      <c r="D3" s="5">
        <f>COUNTIFS('All tests'!$A:$A,$A3,'All tests'!$I:$I,"Pass")</f>
        <v/>
      </c>
      <c r="E3" s="5">
        <f>COUNTIFS('All tests'!$A:$A,$A3,'All tests'!$I:$I,"Fail")</f>
        <v/>
      </c>
      <c r="F3" s="5">
        <f>COUNTIFS('All tests'!$A:$A,$A3,'All tests'!$I:$I,"Blocked")</f>
        <v/>
      </c>
      <c r="G3" s="5">
        <f>COUNTIFS('All tests'!$A:$A,$A3,'All tests'!$I:$I,"N/A")</f>
        <v/>
      </c>
      <c r="H3" s="5">
        <f>C3-SUM(D3:G3)</f>
        <v/>
      </c>
      <c r="I3" s="6">
        <f>IF(C3=0,0,SUM(D3:G3)/C3)</f>
        <v/>
      </c>
    </row>
    <row r="4">
      <c r="A4" s="5" t="n">
        <v>3</v>
      </c>
      <c r="B4" s="5" t="inlineStr">
        <is>
          <t>CSV / EXCEL IMPORT IS SLOW (20 NAMES)</t>
        </is>
      </c>
      <c r="C4" s="5">
        <f>COUNTIF('All tests'!$A:$A,A4)</f>
        <v/>
      </c>
      <c r="D4" s="5">
        <f>COUNTIFS('All tests'!$A:$A,$A4,'All tests'!$I:$I,"Pass")</f>
        <v/>
      </c>
      <c r="E4" s="5">
        <f>COUNTIFS('All tests'!$A:$A,$A4,'All tests'!$I:$I,"Fail")</f>
        <v/>
      </c>
      <c r="F4" s="5">
        <f>COUNTIFS('All tests'!$A:$A,$A4,'All tests'!$I:$I,"Blocked")</f>
        <v/>
      </c>
      <c r="G4" s="5">
        <f>COUNTIFS('All tests'!$A:$A,$A4,'All tests'!$I:$I,"N/A")</f>
        <v/>
      </c>
      <c r="H4" s="5">
        <f>C4-SUM(D4:G4)</f>
        <v/>
      </c>
      <c r="I4" s="6">
        <f>IF(C4=0,0,SUM(D4:G4)/C4)</f>
        <v/>
      </c>
    </row>
    <row r="5">
      <c r="A5" s="5" t="n">
        <v>4</v>
      </c>
      <c r="B5" s="5" t="inlineStr">
        <is>
          <t>REGISTRATIONS: SELECT MULTIPLE, "ADD" ONLY SENDS ONE PLAYER (HIGH)</t>
        </is>
      </c>
      <c r="C5" s="5">
        <f>COUNTIF('All tests'!$A:$A,A5)</f>
        <v/>
      </c>
      <c r="D5" s="5">
        <f>COUNTIFS('All tests'!$A:$A,$A5,'All tests'!$I:$I,"Pass")</f>
        <v/>
      </c>
      <c r="E5" s="5">
        <f>COUNTIFS('All tests'!$A:$A,$A5,'All tests'!$I:$I,"Fail")</f>
        <v/>
      </c>
      <c r="F5" s="5">
        <f>COUNTIFS('All tests'!$A:$A,$A5,'All tests'!$I:$I,"Blocked")</f>
        <v/>
      </c>
      <c r="G5" s="5">
        <f>COUNTIFS('All tests'!$A:$A,$A5,'All tests'!$I:$I,"N/A")</f>
        <v/>
      </c>
      <c r="H5" s="5">
        <f>C5-SUM(D5:G5)</f>
        <v/>
      </c>
      <c r="I5" s="6">
        <f>IF(C5=0,0,SUM(D5:G5)/C5)</f>
        <v/>
      </c>
    </row>
    <row r="6">
      <c r="A6" s="5" t="n">
        <v>5</v>
      </c>
      <c r="B6" s="5" t="inlineStr">
        <is>
          <t>SELECT ALL PLAYERS ON A ROSTER AND DELETE (HIGH)</t>
        </is>
      </c>
      <c r="C6" s="5">
        <f>COUNTIF('All tests'!$A:$A,A6)</f>
        <v/>
      </c>
      <c r="D6" s="5">
        <f>COUNTIFS('All tests'!$A:$A,$A6,'All tests'!$I:$I,"Pass")</f>
        <v/>
      </c>
      <c r="E6" s="5">
        <f>COUNTIFS('All tests'!$A:$A,$A6,'All tests'!$I:$I,"Fail")</f>
        <v/>
      </c>
      <c r="F6" s="5">
        <f>COUNTIFS('All tests'!$A:$A,$A6,'All tests'!$I:$I,"Blocked")</f>
        <v/>
      </c>
      <c r="G6" s="5">
        <f>COUNTIFS('All tests'!$A:$A,$A6,'All tests'!$I:$I,"N/A")</f>
        <v/>
      </c>
      <c r="H6" s="5">
        <f>C6-SUM(D6:G6)</f>
        <v/>
      </c>
      <c r="I6" s="6">
        <f>IF(C6=0,0,SUM(D6:G6)/C6)</f>
        <v/>
      </c>
    </row>
    <row r="7">
      <c r="A7" s="5" t="n">
        <v>6</v>
      </c>
      <c r="B7" s="5" t="inlineStr">
        <is>
          <t>EDIT BUTTON ON THE EVALUATION TILE</t>
        </is>
      </c>
      <c r="C7" s="5">
        <f>COUNTIF('All tests'!$A:$A,A7)</f>
        <v/>
      </c>
      <c r="D7" s="5">
        <f>COUNTIFS('All tests'!$A:$A,$A7,'All tests'!$I:$I,"Pass")</f>
        <v/>
      </c>
      <c r="E7" s="5">
        <f>COUNTIFS('All tests'!$A:$A,$A7,'All tests'!$I:$I,"Fail")</f>
        <v/>
      </c>
      <c r="F7" s="5">
        <f>COUNTIFS('All tests'!$A:$A,$A7,'All tests'!$I:$I,"Blocked")</f>
        <v/>
      </c>
      <c r="G7" s="5">
        <f>COUNTIFS('All tests'!$A:$A,$A7,'All tests'!$I:$I,"N/A")</f>
        <v/>
      </c>
      <c r="H7" s="5">
        <f>C7-SUM(D7:G7)</f>
        <v/>
      </c>
      <c r="I7" s="6">
        <f>IF(C7=0,0,SUM(D7:G7)/C7)</f>
        <v/>
      </c>
    </row>
    <row r="8">
      <c r="A8" s="5" t="n">
        <v>7</v>
      </c>
      <c r="B8" s="5" t="inlineStr">
        <is>
          <t>DATA / PERMISSION CHECKS (touching several fixes)</t>
        </is>
      </c>
      <c r="C8" s="5">
        <f>COUNTIF('All tests'!$A:$A,A8)</f>
        <v/>
      </c>
      <c r="D8" s="5">
        <f>COUNTIFS('All tests'!$A:$A,$A8,'All tests'!$I:$I,"Pass")</f>
        <v/>
      </c>
      <c r="E8" s="5">
        <f>COUNTIFS('All tests'!$A:$A,$A8,'All tests'!$I:$I,"Fail")</f>
        <v/>
      </c>
      <c r="F8" s="5">
        <f>COUNTIFS('All tests'!$A:$A,$A8,'All tests'!$I:$I,"Blocked")</f>
        <v/>
      </c>
      <c r="G8" s="5">
        <f>COUNTIFS('All tests'!$A:$A,$A8,'All tests'!$I:$I,"N/A")</f>
        <v/>
      </c>
      <c r="H8" s="5">
        <f>C8-SUM(D8:G8)</f>
        <v/>
      </c>
      <c r="I8" s="6">
        <f>IF(C8=0,0,SUM(D8:G8)/C8)</f>
        <v/>
      </c>
    </row>
    <row r="9">
      <c r="A9" s="5" t="n">
        <v>8</v>
      </c>
      <c r="B9" s="5" t="inlineStr">
        <is>
          <t>REGRESSION CHECKLIST (run on the NEW build)</t>
        </is>
      </c>
      <c r="C9" s="5">
        <f>COUNTIF('All tests'!$A:$A,A9)</f>
        <v/>
      </c>
      <c r="D9" s="5">
        <f>COUNTIFS('All tests'!$A:$A,$A9,'All tests'!$I:$I,"Pass")</f>
        <v/>
      </c>
      <c r="E9" s="5">
        <f>COUNTIFS('All tests'!$A:$A,$A9,'All tests'!$I:$I,"Fail")</f>
        <v/>
      </c>
      <c r="F9" s="5">
        <f>COUNTIFS('All tests'!$A:$A,$A9,'All tests'!$I:$I,"Blocked")</f>
        <v/>
      </c>
      <c r="G9" s="5">
        <f>COUNTIFS('All tests'!$A:$A,$A9,'All tests'!$I:$I,"N/A")</f>
        <v/>
      </c>
      <c r="H9" s="5">
        <f>C9-SUM(D9:G9)</f>
        <v/>
      </c>
      <c r="I9" s="6">
        <f>IF(C9=0,0,SUM(D9:G9)/C9)</f>
        <v/>
      </c>
    </row>
    <row r="10">
      <c r="A10" s="5" t="n">
        <v>10</v>
      </c>
      <c r="B10" s="5" t="inlineStr">
        <is>
          <t>EVALUATION SHOWS ON THE WRONG PLACES (team vs standalone)  (HIGH)</t>
        </is>
      </c>
      <c r="C10" s="5">
        <f>COUNTIF('All tests'!$A:$A,A10)</f>
        <v/>
      </c>
      <c r="D10" s="5">
        <f>COUNTIFS('All tests'!$A:$A,$A10,'All tests'!$I:$I,"Pass")</f>
        <v/>
      </c>
      <c r="E10" s="5">
        <f>COUNTIFS('All tests'!$A:$A,$A10,'All tests'!$I:$I,"Fail")</f>
        <v/>
      </c>
      <c r="F10" s="5">
        <f>COUNTIFS('All tests'!$A:$A,$A10,'All tests'!$I:$I,"Blocked")</f>
        <v/>
      </c>
      <c r="G10" s="5">
        <f>COUNTIFS('All tests'!$A:$A,$A10,'All tests'!$I:$I,"N/A")</f>
        <v/>
      </c>
      <c r="H10" s="5">
        <f>C10-SUM(D10:G10)</f>
        <v/>
      </c>
      <c r="I10" s="6">
        <f>IF(C10=0,0,SUM(D10:G10)/C10)</f>
        <v/>
      </c>
    </row>
    <row r="11">
      <c r="A11" s="5" t="n">
        <v>11</v>
      </c>
      <c r="B11" s="5" t="inlineStr">
        <is>
          <t>DRAG AND DROP / TRADE PLAYERS BETWEEN TEAMS ON THE APK  (HIGH)</t>
        </is>
      </c>
      <c r="C11" s="5">
        <f>COUNTIF('All tests'!$A:$A,A11)</f>
        <v/>
      </c>
      <c r="D11" s="5">
        <f>COUNTIFS('All tests'!$A:$A,$A11,'All tests'!$I:$I,"Pass")</f>
        <v/>
      </c>
      <c r="E11" s="5">
        <f>COUNTIFS('All tests'!$A:$A,$A11,'All tests'!$I:$I,"Fail")</f>
        <v/>
      </c>
      <c r="F11" s="5">
        <f>COUNTIFS('All tests'!$A:$A,$A11,'All tests'!$I:$I,"Blocked")</f>
        <v/>
      </c>
      <c r="G11" s="5">
        <f>COUNTIFS('All tests'!$A:$A,$A11,'All tests'!$I:$I,"N/A")</f>
        <v/>
      </c>
      <c r="H11" s="5">
        <f>C11-SUM(D11:G11)</f>
        <v/>
      </c>
      <c r="I11" s="6">
        <f>IF(C11=0,0,SUM(D11:G11)/C11)</f>
        <v/>
      </c>
    </row>
    <row r="12">
      <c r="A12" s="5" t="n">
        <v>12</v>
      </c>
      <c r="B12" s="5" t="inlineStr">
        <is>
          <t>EXTRA REGRESSION CHECKS FOR SECTIONS 10 AND 11</t>
        </is>
      </c>
      <c r="C12" s="5">
        <f>COUNTIF('All tests'!$A:$A,A12)</f>
        <v/>
      </c>
      <c r="D12" s="5">
        <f>COUNTIFS('All tests'!$A:$A,$A12,'All tests'!$I:$I,"Pass")</f>
        <v/>
      </c>
      <c r="E12" s="5">
        <f>COUNTIFS('All tests'!$A:$A,$A12,'All tests'!$I:$I,"Fail")</f>
        <v/>
      </c>
      <c r="F12" s="5">
        <f>COUNTIFS('All tests'!$A:$A,$A12,'All tests'!$I:$I,"Blocked")</f>
        <v/>
      </c>
      <c r="G12" s="5">
        <f>COUNTIFS('All tests'!$A:$A,$A12,'All tests'!$I:$I,"N/A")</f>
        <v/>
      </c>
      <c r="H12" s="5">
        <f>C12-SUM(D12:G12)</f>
        <v/>
      </c>
      <c r="I12" s="6">
        <f>IF(C12=0,0,SUM(D12:G12)/C12)</f>
        <v/>
      </c>
    </row>
    <row r="13">
      <c r="A13" s="5" t="n">
        <v>13</v>
      </c>
      <c r="B13" s="5" t="inlineStr">
        <is>
          <t>TEAM SCREEN TITLE: "&lt;TEAM NAME&gt; HUB"</t>
        </is>
      </c>
      <c r="C13" s="5">
        <f>COUNTIF('All tests'!$A:$A,A13)</f>
        <v/>
      </c>
      <c r="D13" s="5">
        <f>COUNTIFS('All tests'!$A:$A,$A13,'All tests'!$I:$I,"Pass")</f>
        <v/>
      </c>
      <c r="E13" s="5">
        <f>COUNTIFS('All tests'!$A:$A,$A13,'All tests'!$I:$I,"Fail")</f>
        <v/>
      </c>
      <c r="F13" s="5">
        <f>COUNTIFS('All tests'!$A:$A,$A13,'All tests'!$I:$I,"Blocked")</f>
        <v/>
      </c>
      <c r="G13" s="5">
        <f>COUNTIFS('All tests'!$A:$A,$A13,'All tests'!$I:$I,"N/A")</f>
        <v/>
      </c>
      <c r="H13" s="5">
        <f>C13-SUM(D13:G13)</f>
        <v/>
      </c>
      <c r="I13" s="6">
        <f>IF(C13=0,0,SUM(D13:G13)/C13)</f>
        <v/>
      </c>
    </row>
    <row r="14">
      <c r="A14" s="5" t="n">
        <v>14</v>
      </c>
      <c r="B14" s="5" t="inlineStr">
        <is>
          <t>"SETTINGS" TAB RENAMED TO "OPTIONS"</t>
        </is>
      </c>
      <c r="C14" s="5">
        <f>COUNTIF('All tests'!$A:$A,A14)</f>
        <v/>
      </c>
      <c r="D14" s="5">
        <f>COUNTIFS('All tests'!$A:$A,$A14,'All tests'!$I:$I,"Pass")</f>
        <v/>
      </c>
      <c r="E14" s="5">
        <f>COUNTIFS('All tests'!$A:$A,$A14,'All tests'!$I:$I,"Fail")</f>
        <v/>
      </c>
      <c r="F14" s="5">
        <f>COUNTIFS('All tests'!$A:$A,$A14,'All tests'!$I:$I,"Blocked")</f>
        <v/>
      </c>
      <c r="G14" s="5">
        <f>COUNTIFS('All tests'!$A:$A,$A14,'All tests'!$I:$I,"N/A")</f>
        <v/>
      </c>
      <c r="H14" s="5">
        <f>C14-SUM(D14:G14)</f>
        <v/>
      </c>
      <c r="I14" s="6">
        <f>IF(C14=0,0,SUM(D14:G14)/C14)</f>
        <v/>
      </c>
    </row>
    <row r="15">
      <c r="A15" s="5" t="n">
        <v>15</v>
      </c>
      <c r="B15" s="5" t="inlineStr">
        <is>
          <t>EXPORT TEAM (PDF OR EXCEL)</t>
        </is>
      </c>
      <c r="C15" s="5">
        <f>COUNTIF('All tests'!$A:$A,A15)</f>
        <v/>
      </c>
      <c r="D15" s="5">
        <f>COUNTIFS('All tests'!$A:$A,$A15,'All tests'!$I:$I,"Pass")</f>
        <v/>
      </c>
      <c r="E15" s="5">
        <f>COUNTIFS('All tests'!$A:$A,$A15,'All tests'!$I:$I,"Fail")</f>
        <v/>
      </c>
      <c r="F15" s="5">
        <f>COUNTIFS('All tests'!$A:$A,$A15,'All tests'!$I:$I,"Blocked")</f>
        <v/>
      </c>
      <c r="G15" s="5">
        <f>COUNTIFS('All tests'!$A:$A,$A15,'All tests'!$I:$I,"N/A")</f>
        <v/>
      </c>
      <c r="H15" s="5">
        <f>C15-SUM(D15:G15)</f>
        <v/>
      </c>
      <c r="I15" s="6">
        <f>IF(C15=0,0,SUM(D15:G15)/C15)</f>
        <v/>
      </c>
    </row>
    <row r="16">
      <c r="A16" s="5" t="n">
        <v>16</v>
      </c>
      <c r="B16" s="5" t="inlineStr">
        <is>
          <t>LETTER TEMPLATES IN THE TEAM'S OPTIONS</t>
        </is>
      </c>
      <c r="C16" s="5">
        <f>COUNTIF('All tests'!$A:$A,A16)</f>
        <v/>
      </c>
      <c r="D16" s="5">
        <f>COUNTIFS('All tests'!$A:$A,$A16,'All tests'!$I:$I,"Pass")</f>
        <v/>
      </c>
      <c r="E16" s="5">
        <f>COUNTIFS('All tests'!$A:$A,$A16,'All tests'!$I:$I,"Fail")</f>
        <v/>
      </c>
      <c r="F16" s="5">
        <f>COUNTIFS('All tests'!$A:$A,$A16,'All tests'!$I:$I,"Blocked")</f>
        <v/>
      </c>
      <c r="G16" s="5">
        <f>COUNTIFS('All tests'!$A:$A,$A16,'All tests'!$I:$I,"N/A")</f>
        <v/>
      </c>
      <c r="H16" s="5">
        <f>C16-SUM(D16:G16)</f>
        <v/>
      </c>
      <c r="I16" s="6">
        <f>IF(C16=0,0,SUM(D16:G16)/C16)</f>
        <v/>
      </c>
    </row>
    <row r="17">
      <c r="A17" s="5" t="n">
        <v>17</v>
      </c>
      <c r="B17" s="5" t="inlineStr">
        <is>
          <t>LETTER TEMPLATE EDITOR: KEYBOARD COVERS THE LETTER  (HIGH)</t>
        </is>
      </c>
      <c r="C17" s="5">
        <f>COUNTIF('All tests'!$A:$A,A17)</f>
        <v/>
      </c>
      <c r="D17" s="5">
        <f>COUNTIFS('All tests'!$A:$A,$A17,'All tests'!$I:$I,"Pass")</f>
        <v/>
      </c>
      <c r="E17" s="5">
        <f>COUNTIFS('All tests'!$A:$A,$A17,'All tests'!$I:$I,"Fail")</f>
        <v/>
      </c>
      <c r="F17" s="5">
        <f>COUNTIFS('All tests'!$A:$A,$A17,'All tests'!$I:$I,"Blocked")</f>
        <v/>
      </c>
      <c r="G17" s="5">
        <f>COUNTIFS('All tests'!$A:$A,$A17,'All tests'!$I:$I,"N/A")</f>
        <v/>
      </c>
      <c r="H17" s="5">
        <f>C17-SUM(D17:G17)</f>
        <v/>
      </c>
      <c r="I17" s="6">
        <f>IF(C17=0,0,SUM(D17:G17)/C17)</f>
        <v/>
      </c>
    </row>
    <row r="18">
      <c r="A18" s="5" t="n">
        <v>18</v>
      </c>
      <c r="B18" s="5" t="inlineStr">
        <is>
          <t>END TIME BEFORE START TIME IS ACCEPTED  (HIGH)</t>
        </is>
      </c>
      <c r="C18" s="5">
        <f>COUNTIF('All tests'!$A:$A,A18)</f>
        <v/>
      </c>
      <c r="D18" s="5">
        <f>COUNTIFS('All tests'!$A:$A,$A18,'All tests'!$I:$I,"Pass")</f>
        <v/>
      </c>
      <c r="E18" s="5">
        <f>COUNTIFS('All tests'!$A:$A,$A18,'All tests'!$I:$I,"Fail")</f>
        <v/>
      </c>
      <c r="F18" s="5">
        <f>COUNTIFS('All tests'!$A:$A,$A18,'All tests'!$I:$I,"Blocked")</f>
        <v/>
      </c>
      <c r="G18" s="5">
        <f>COUNTIFS('All tests'!$A:$A,$A18,'All tests'!$I:$I,"N/A")</f>
        <v/>
      </c>
      <c r="H18" s="5">
        <f>C18-SUM(D18:G18)</f>
        <v/>
      </c>
      <c r="I18" s="6">
        <f>IF(C18=0,0,SUM(D18:G18)/C18)</f>
        <v/>
      </c>
    </row>
    <row r="19">
      <c r="A19" s="5" t="n">
        <v>19</v>
      </c>
      <c r="B19" s="5" t="inlineStr">
        <is>
          <t>INVITED GUARDIAN: PLAYER ONLY IN "MY ATHLETES", NOT UNDER TEAM  (CRITICAL)</t>
        </is>
      </c>
      <c r="C19" s="5">
        <f>COUNTIF('All tests'!$A:$A,A19)</f>
        <v/>
      </c>
      <c r="D19" s="5">
        <f>COUNTIFS('All tests'!$A:$A,$A19,'All tests'!$I:$I,"Pass")</f>
        <v/>
      </c>
      <c r="E19" s="5">
        <f>COUNTIFS('All tests'!$A:$A,$A19,'All tests'!$I:$I,"Fail")</f>
        <v/>
      </c>
      <c r="F19" s="5">
        <f>COUNTIFS('All tests'!$A:$A,$A19,'All tests'!$I:$I,"Blocked")</f>
        <v/>
      </c>
      <c r="G19" s="5">
        <f>COUNTIFS('All tests'!$A:$A,$A19,'All tests'!$I:$I,"N/A")</f>
        <v/>
      </c>
      <c r="H19" s="5">
        <f>C19-SUM(D19:G19)</f>
        <v/>
      </c>
      <c r="I19" s="6">
        <f>IF(C19=0,0,SUM(D19:G19)/C19)</f>
        <v/>
      </c>
    </row>
    <row r="20">
      <c r="A20" s="5" t="n">
        <v>20</v>
      </c>
      <c r="B20" s="5" t="inlineStr">
        <is>
          <t>REGRESSION CHECKLIST FOR ADDENDUM 2</t>
        </is>
      </c>
      <c r="C20" s="5">
        <f>COUNTIF('All tests'!$A:$A,A20)</f>
        <v/>
      </c>
      <c r="D20" s="5">
        <f>COUNTIFS('All tests'!$A:$A,$A20,'All tests'!$I:$I,"Pass")</f>
        <v/>
      </c>
      <c r="E20" s="5">
        <f>COUNTIFS('All tests'!$A:$A,$A20,'All tests'!$I:$I,"Fail")</f>
        <v/>
      </c>
      <c r="F20" s="5">
        <f>COUNTIFS('All tests'!$A:$A,$A20,'All tests'!$I:$I,"Blocked")</f>
        <v/>
      </c>
      <c r="G20" s="5">
        <f>COUNTIFS('All tests'!$A:$A,$A20,'All tests'!$I:$I,"N/A")</f>
        <v/>
      </c>
      <c r="H20" s="5">
        <f>C20-SUM(D20:G20)</f>
        <v/>
      </c>
      <c r="I20" s="6">
        <f>IF(C20=0,0,SUM(D20:G20)/C20)</f>
        <v/>
      </c>
    </row>
    <row r="21">
      <c r="A21" s="5" t="n">
        <v>21</v>
      </c>
      <c r="B21" s="5" t="inlineStr">
        <is>
          <t>UPGRADE COACH -&gt; COACH+ CHARGES THE FULL $69.99  (CRITICAL)</t>
        </is>
      </c>
      <c r="C21" s="5">
        <f>COUNTIF('All tests'!$A:$A,A21)</f>
        <v/>
      </c>
      <c r="D21" s="5">
        <f>COUNTIFS('All tests'!$A:$A,$A21,'All tests'!$I:$I,"Pass")</f>
        <v/>
      </c>
      <c r="E21" s="5">
        <f>COUNTIFS('All tests'!$A:$A,$A21,'All tests'!$I:$I,"Fail")</f>
        <v/>
      </c>
      <c r="F21" s="5">
        <f>COUNTIFS('All tests'!$A:$A,$A21,'All tests'!$I:$I,"Blocked")</f>
        <v/>
      </c>
      <c r="G21" s="5">
        <f>COUNTIFS('All tests'!$A:$A,$A21,'All tests'!$I:$I,"N/A")</f>
        <v/>
      </c>
      <c r="H21" s="5">
        <f>C21-SUM(D21:G21)</f>
        <v/>
      </c>
      <c r="I21" s="6">
        <f>IF(C21=0,0,SUM(D21:G21)/C21)</f>
        <v/>
      </c>
    </row>
    <row r="22">
      <c r="A22" s="5" t="n">
        <v>22</v>
      </c>
      <c r="B22" s="5" t="inlineStr">
        <is>
          <t>CREATE TEAM BUTTON HIDDEN BY THE PHONE MENU BUTTONS (Android)</t>
        </is>
      </c>
      <c r="C22" s="5">
        <f>COUNTIF('All tests'!$A:$A,A22)</f>
        <v/>
      </c>
      <c r="D22" s="5">
        <f>COUNTIFS('All tests'!$A:$A,$A22,'All tests'!$I:$I,"Pass")</f>
        <v/>
      </c>
      <c r="E22" s="5">
        <f>COUNTIFS('All tests'!$A:$A,$A22,'All tests'!$I:$I,"Fail")</f>
        <v/>
      </c>
      <c r="F22" s="5">
        <f>COUNTIFS('All tests'!$A:$A,$A22,'All tests'!$I:$I,"Blocked")</f>
        <v/>
      </c>
      <c r="G22" s="5">
        <f>COUNTIFS('All tests'!$A:$A,$A22,'All tests'!$I:$I,"N/A")</f>
        <v/>
      </c>
      <c r="H22" s="5">
        <f>C22-SUM(D22:G22)</f>
        <v/>
      </c>
      <c r="I22" s="6">
        <f>IF(C22=0,0,SUM(D22:G22)/C22)</f>
        <v/>
      </c>
    </row>
    <row r="23">
      <c r="A23" s="5" t="n">
        <v>23</v>
      </c>
      <c r="B23" s="5" t="inlineStr">
        <is>
          <t>NEW TEAM MANAGER ON "COACH MODE" FOR THAT TEAM ONLY  (IMPLEMENTED)</t>
        </is>
      </c>
      <c r="C23" s="5">
        <f>COUNTIF('All tests'!$A:$A,A23)</f>
        <v/>
      </c>
      <c r="D23" s="5">
        <f>COUNTIFS('All tests'!$A:$A,$A23,'All tests'!$I:$I,"Pass")</f>
        <v/>
      </c>
      <c r="E23" s="5">
        <f>COUNTIFS('All tests'!$A:$A,$A23,'All tests'!$I:$I,"Fail")</f>
        <v/>
      </c>
      <c r="F23" s="5">
        <f>COUNTIFS('All tests'!$A:$A,$A23,'All tests'!$I:$I,"Blocked")</f>
        <v/>
      </c>
      <c r="G23" s="5">
        <f>COUNTIFS('All tests'!$A:$A,$A23,'All tests'!$I:$I,"N/A")</f>
        <v/>
      </c>
      <c r="H23" s="5">
        <f>C23-SUM(D23:G23)</f>
        <v/>
      </c>
      <c r="I23" s="6">
        <f>IF(C23=0,0,SUM(D23:G23)/C23)</f>
        <v/>
      </c>
    </row>
    <row r="24">
      <c r="A24" s="5" t="n">
        <v>24</v>
      </c>
      <c r="B24" s="5" t="inlineStr">
        <is>
          <t>REGRESSION CHECKLIST FOR ADDENDUM 3</t>
        </is>
      </c>
      <c r="C24" s="5">
        <f>COUNTIF('All tests'!$A:$A,A24)</f>
        <v/>
      </c>
      <c r="D24" s="5">
        <f>COUNTIFS('All tests'!$A:$A,$A24,'All tests'!$I:$I,"Pass")</f>
        <v/>
      </c>
      <c r="E24" s="5">
        <f>COUNTIFS('All tests'!$A:$A,$A24,'All tests'!$I:$I,"Fail")</f>
        <v/>
      </c>
      <c r="F24" s="5">
        <f>COUNTIFS('All tests'!$A:$A,$A24,'All tests'!$I:$I,"Blocked")</f>
        <v/>
      </c>
      <c r="G24" s="5">
        <f>COUNTIFS('All tests'!$A:$A,$A24,'All tests'!$I:$I,"N/A")</f>
        <v/>
      </c>
      <c r="H24" s="5">
        <f>C24-SUM(D24:G24)</f>
        <v/>
      </c>
      <c r="I24" s="6">
        <f>IF(C24=0,0,SUM(D24:G24)/C24)</f>
        <v/>
      </c>
    </row>
    <row r="25">
      <c r="A25" s="5" t="n">
        <v>25</v>
      </c>
      <c r="B25" s="5" t="inlineStr">
        <is>
          <t>SIGN UP, LOGIN, ONBOARDING</t>
        </is>
      </c>
      <c r="C25" s="5">
        <f>COUNTIF('All tests'!$A:$A,A25)</f>
        <v/>
      </c>
      <c r="D25" s="5">
        <f>COUNTIFS('All tests'!$A:$A,$A25,'All tests'!$I:$I,"Pass")</f>
        <v/>
      </c>
      <c r="E25" s="5">
        <f>COUNTIFS('All tests'!$A:$A,$A25,'All tests'!$I:$I,"Fail")</f>
        <v/>
      </c>
      <c r="F25" s="5">
        <f>COUNTIFS('All tests'!$A:$A,$A25,'All tests'!$I:$I,"Blocked")</f>
        <v/>
      </c>
      <c r="G25" s="5">
        <f>COUNTIFS('All tests'!$A:$A,$A25,'All tests'!$I:$I,"N/A")</f>
        <v/>
      </c>
      <c r="H25" s="5">
        <f>C25-SUM(D25:G25)</f>
        <v/>
      </c>
      <c r="I25" s="6">
        <f>IF(C25=0,0,SUM(D25:G25)/C25)</f>
        <v/>
      </c>
    </row>
    <row r="26">
      <c r="A26" s="5" t="n">
        <v>26</v>
      </c>
      <c r="B26" s="5" t="inlineStr">
        <is>
          <t>HOME / DASHBOARD</t>
        </is>
      </c>
      <c r="C26" s="5">
        <f>COUNTIF('All tests'!$A:$A,A26)</f>
        <v/>
      </c>
      <c r="D26" s="5">
        <f>COUNTIFS('All tests'!$A:$A,$A26,'All tests'!$I:$I,"Pass")</f>
        <v/>
      </c>
      <c r="E26" s="5">
        <f>COUNTIFS('All tests'!$A:$A,$A26,'All tests'!$I:$I,"Fail")</f>
        <v/>
      </c>
      <c r="F26" s="5">
        <f>COUNTIFS('All tests'!$A:$A,$A26,'All tests'!$I:$I,"Blocked")</f>
        <v/>
      </c>
      <c r="G26" s="5">
        <f>COUNTIFS('All tests'!$A:$A,$A26,'All tests'!$I:$I,"N/A")</f>
        <v/>
      </c>
      <c r="H26" s="5">
        <f>C26-SUM(D26:G26)</f>
        <v/>
      </c>
      <c r="I26" s="6">
        <f>IF(C26=0,0,SUM(D26:G26)/C26)</f>
        <v/>
      </c>
    </row>
    <row r="27">
      <c r="A27" s="5" t="n">
        <v>27</v>
      </c>
      <c r="B27" s="5" t="inlineStr">
        <is>
          <t>EVALUATION: CREATE, EDIT, COPY, ARCHIVE, DELETE</t>
        </is>
      </c>
      <c r="C27" s="5">
        <f>COUNTIF('All tests'!$A:$A,A27)</f>
        <v/>
      </c>
      <c r="D27" s="5">
        <f>COUNTIFS('All tests'!$A:$A,$A27,'All tests'!$I:$I,"Pass")</f>
        <v/>
      </c>
      <c r="E27" s="5">
        <f>COUNTIFS('All tests'!$A:$A,$A27,'All tests'!$I:$I,"Fail")</f>
        <v/>
      </c>
      <c r="F27" s="5">
        <f>COUNTIFS('All tests'!$A:$A,$A27,'All tests'!$I:$I,"Blocked")</f>
        <v/>
      </c>
      <c r="G27" s="5">
        <f>COUNTIFS('All tests'!$A:$A,$A27,'All tests'!$I:$I,"N/A")</f>
        <v/>
      </c>
      <c r="H27" s="5">
        <f>C27-SUM(D27:G27)</f>
        <v/>
      </c>
      <c r="I27" s="6">
        <f>IF(C27=0,0,SUM(D27:G27)/C27)</f>
        <v/>
      </c>
    </row>
    <row r="28">
      <c r="A28" s="5" t="n">
        <v>28</v>
      </c>
      <c r="B28" s="5" t="inlineStr">
        <is>
          <t>EVALUATION ROSTER</t>
        </is>
      </c>
      <c r="C28" s="5">
        <f>COUNTIF('All tests'!$A:$A,A28)</f>
        <v/>
      </c>
      <c r="D28" s="5">
        <f>COUNTIFS('All tests'!$A:$A,$A28,'All tests'!$I:$I,"Pass")</f>
        <v/>
      </c>
      <c r="E28" s="5">
        <f>COUNTIFS('All tests'!$A:$A,$A28,'All tests'!$I:$I,"Fail")</f>
        <v/>
      </c>
      <c r="F28" s="5">
        <f>COUNTIFS('All tests'!$A:$A,$A28,'All tests'!$I:$I,"Blocked")</f>
        <v/>
      </c>
      <c r="G28" s="5">
        <f>COUNTIFS('All tests'!$A:$A,$A28,'All tests'!$I:$I,"N/A")</f>
        <v/>
      </c>
      <c r="H28" s="5">
        <f>C28-SUM(D28:G28)</f>
        <v/>
      </c>
      <c r="I28" s="6">
        <f>IF(C28=0,0,SUM(D28:G28)/C28)</f>
        <v/>
      </c>
    </row>
    <row r="29">
      <c r="A29" s="5" t="n">
        <v>29</v>
      </c>
      <c r="B29" s="5" t="inlineStr">
        <is>
          <t>REGISTRATIONS AND QR</t>
        </is>
      </c>
      <c r="C29" s="5">
        <f>COUNTIF('All tests'!$A:$A,A29)</f>
        <v/>
      </c>
      <c r="D29" s="5">
        <f>COUNTIFS('All tests'!$A:$A,$A29,'All tests'!$I:$I,"Pass")</f>
        <v/>
      </c>
      <c r="E29" s="5">
        <f>COUNTIFS('All tests'!$A:$A,$A29,'All tests'!$I:$I,"Fail")</f>
        <v/>
      </c>
      <c r="F29" s="5">
        <f>COUNTIFS('All tests'!$A:$A,$A29,'All tests'!$I:$I,"Blocked")</f>
        <v/>
      </c>
      <c r="G29" s="5">
        <f>COUNTIFS('All tests'!$A:$A,$A29,'All tests'!$I:$I,"N/A")</f>
        <v/>
      </c>
      <c r="H29" s="5">
        <f>C29-SUM(D29:G29)</f>
        <v/>
      </c>
      <c r="I29" s="6">
        <f>IF(C29=0,0,SUM(D29:G29)/C29)</f>
        <v/>
      </c>
    </row>
    <row r="30">
      <c r="A30" s="5" t="n">
        <v>30</v>
      </c>
      <c r="B30" s="5" t="inlineStr">
        <is>
          <t>SCORING (RINKSIDE, SCORE SCREEN, SCAN SHEET, OFFLINE)</t>
        </is>
      </c>
      <c r="C30" s="5">
        <f>COUNTIF('All tests'!$A:$A,A30)</f>
        <v/>
      </c>
      <c r="D30" s="5">
        <f>COUNTIFS('All tests'!$A:$A,$A30,'All tests'!$I:$I,"Pass")</f>
        <v/>
      </c>
      <c r="E30" s="5">
        <f>COUNTIFS('All tests'!$A:$A,$A30,'All tests'!$I:$I,"Fail")</f>
        <v/>
      </c>
      <c r="F30" s="5">
        <f>COUNTIFS('All tests'!$A:$A,$A30,'All tests'!$I:$I,"Blocked")</f>
        <v/>
      </c>
      <c r="G30" s="5">
        <f>COUNTIFS('All tests'!$A:$A,$A30,'All tests'!$I:$I,"N/A")</f>
        <v/>
      </c>
      <c r="H30" s="5">
        <f>C30-SUM(D30:G30)</f>
        <v/>
      </c>
      <c r="I30" s="6">
        <f>IF(C30=0,0,SUM(D30:G30)/C30)</f>
        <v/>
      </c>
    </row>
    <row r="31">
      <c r="A31" s="5" t="n">
        <v>31</v>
      </c>
      <c r="B31" s="5" t="inlineStr">
        <is>
          <t>RESULTS, RANKINGS, COMPARE, EXPORT</t>
        </is>
      </c>
      <c r="C31" s="5">
        <f>COUNTIF('All tests'!$A:$A,A31)</f>
        <v/>
      </c>
      <c r="D31" s="5">
        <f>COUNTIFS('All tests'!$A:$A,$A31,'All tests'!$I:$I,"Pass")</f>
        <v/>
      </c>
      <c r="E31" s="5">
        <f>COUNTIFS('All tests'!$A:$A,$A31,'All tests'!$I:$I,"Fail")</f>
        <v/>
      </c>
      <c r="F31" s="5">
        <f>COUNTIFS('All tests'!$A:$A,$A31,'All tests'!$I:$I,"Blocked")</f>
        <v/>
      </c>
      <c r="G31" s="5">
        <f>COUNTIFS('All tests'!$A:$A,$A31,'All tests'!$I:$I,"N/A")</f>
        <v/>
      </c>
      <c r="H31" s="5">
        <f>C31-SUM(D31:G31)</f>
        <v/>
      </c>
      <c r="I31" s="6">
        <f>IF(C31=0,0,SUM(D31:G31)/C31)</f>
        <v/>
      </c>
    </row>
    <row r="32">
      <c r="A32" s="5" t="n">
        <v>32</v>
      </c>
      <c r="B32" s="5" t="inlineStr">
        <is>
          <t>TEAM BUILDER</t>
        </is>
      </c>
      <c r="C32" s="5">
        <f>COUNTIF('All tests'!$A:$A,A32)</f>
        <v/>
      </c>
      <c r="D32" s="5">
        <f>COUNTIFS('All tests'!$A:$A,$A32,'All tests'!$I:$I,"Pass")</f>
        <v/>
      </c>
      <c r="E32" s="5">
        <f>COUNTIFS('All tests'!$A:$A,$A32,'All tests'!$I:$I,"Fail")</f>
        <v/>
      </c>
      <c r="F32" s="5">
        <f>COUNTIFS('All tests'!$A:$A,$A32,'All tests'!$I:$I,"Blocked")</f>
        <v/>
      </c>
      <c r="G32" s="5">
        <f>COUNTIFS('All tests'!$A:$A,$A32,'All tests'!$I:$I,"N/A")</f>
        <v/>
      </c>
      <c r="H32" s="5">
        <f>C32-SUM(D32:G32)</f>
        <v/>
      </c>
      <c r="I32" s="6">
        <f>IF(C32=0,0,SUM(D32:G32)/C32)</f>
        <v/>
      </c>
    </row>
    <row r="33">
      <c r="A33" s="5" t="n">
        <v>33</v>
      </c>
      <c r="B33" s="5" t="inlineStr">
        <is>
          <t>PLAYER SELECTION LETTERS</t>
        </is>
      </c>
      <c r="C33" s="5">
        <f>COUNTIF('All tests'!$A:$A,A33)</f>
        <v/>
      </c>
      <c r="D33" s="5">
        <f>COUNTIFS('All tests'!$A:$A,$A33,'All tests'!$I:$I,"Pass")</f>
        <v/>
      </c>
      <c r="E33" s="5">
        <f>COUNTIFS('All tests'!$A:$A,$A33,'All tests'!$I:$I,"Fail")</f>
        <v/>
      </c>
      <c r="F33" s="5">
        <f>COUNTIFS('All tests'!$A:$A,$A33,'All tests'!$I:$I,"Blocked")</f>
        <v/>
      </c>
      <c r="G33" s="5">
        <f>COUNTIFS('All tests'!$A:$A,$A33,'All tests'!$I:$I,"N/A")</f>
        <v/>
      </c>
      <c r="H33" s="5">
        <f>C33-SUM(D33:G33)</f>
        <v/>
      </c>
      <c r="I33" s="6">
        <f>IF(C33=0,0,SUM(D33:G33)/C33)</f>
        <v/>
      </c>
    </row>
    <row r="34">
      <c r="A34" s="5" t="n">
        <v>34</v>
      </c>
      <c r="B34" s="5" t="inlineStr">
        <is>
          <t>ROLES AND PERMISSIONS MATRIX</t>
        </is>
      </c>
      <c r="C34" s="5">
        <f>COUNTIF('All tests'!$A:$A,A34)</f>
        <v/>
      </c>
      <c r="D34" s="5">
        <f>COUNTIFS('All tests'!$A:$A,$A34,'All tests'!$I:$I,"Pass")</f>
        <v/>
      </c>
      <c r="E34" s="5">
        <f>COUNTIFS('All tests'!$A:$A,$A34,'All tests'!$I:$I,"Fail")</f>
        <v/>
      </c>
      <c r="F34" s="5">
        <f>COUNTIFS('All tests'!$A:$A,$A34,'All tests'!$I:$I,"Blocked")</f>
        <v/>
      </c>
      <c r="G34" s="5">
        <f>COUNTIFS('All tests'!$A:$A,$A34,'All tests'!$I:$I,"N/A")</f>
        <v/>
      </c>
      <c r="H34" s="5">
        <f>C34-SUM(D34:G34)</f>
        <v/>
      </c>
      <c r="I34" s="6">
        <f>IF(C34=0,0,SUM(D34:G34)/C34)</f>
        <v/>
      </c>
    </row>
    <row r="35">
      <c r="A35" s="5" t="n">
        <v>35</v>
      </c>
      <c r="B35" s="5" t="inlineStr">
        <is>
          <t>TEAM: CREATE, EDIT, DELETE</t>
        </is>
      </c>
      <c r="C35" s="5">
        <f>COUNTIF('All tests'!$A:$A,A35)</f>
        <v/>
      </c>
      <c r="D35" s="5">
        <f>COUNTIFS('All tests'!$A:$A,$A35,'All tests'!$I:$I,"Pass")</f>
        <v/>
      </c>
      <c r="E35" s="5">
        <f>COUNTIFS('All tests'!$A:$A,$A35,'All tests'!$I:$I,"Fail")</f>
        <v/>
      </c>
      <c r="F35" s="5">
        <f>COUNTIFS('All tests'!$A:$A,$A35,'All tests'!$I:$I,"Blocked")</f>
        <v/>
      </c>
      <c r="G35" s="5">
        <f>COUNTIFS('All tests'!$A:$A,$A35,'All tests'!$I:$I,"N/A")</f>
        <v/>
      </c>
      <c r="H35" s="5">
        <f>C35-SUM(D35:G35)</f>
        <v/>
      </c>
      <c r="I35" s="6">
        <f>IF(C35=0,0,SUM(D35:G35)/C35)</f>
        <v/>
      </c>
    </row>
    <row r="36">
      <c r="A36" s="5" t="n">
        <v>36</v>
      </c>
      <c r="B36" s="5" t="inlineStr">
        <is>
          <t>TEAM SCHEDULE, EVENTS, RSVP, CALENDAR</t>
        </is>
      </c>
      <c r="C36" s="5">
        <f>COUNTIF('All tests'!$A:$A,A36)</f>
        <v/>
      </c>
      <c r="D36" s="5">
        <f>COUNTIFS('All tests'!$A:$A,$A36,'All tests'!$I:$I,"Pass")</f>
        <v/>
      </c>
      <c r="E36" s="5">
        <f>COUNTIFS('All tests'!$A:$A,$A36,'All tests'!$I:$I,"Fail")</f>
        <v/>
      </c>
      <c r="F36" s="5">
        <f>COUNTIFS('All tests'!$A:$A,$A36,'All tests'!$I:$I,"Blocked")</f>
        <v/>
      </c>
      <c r="G36" s="5">
        <f>COUNTIFS('All tests'!$A:$A,$A36,'All tests'!$I:$I,"N/A")</f>
        <v/>
      </c>
      <c r="H36" s="5">
        <f>C36-SUM(D36:G36)</f>
        <v/>
      </c>
      <c r="I36" s="6">
        <f>IF(C36=0,0,SUM(D36:G36)/C36)</f>
        <v/>
      </c>
    </row>
    <row r="37">
      <c r="A37" s="5" t="n">
        <v>37</v>
      </c>
      <c r="B37" s="5" t="inlineStr">
        <is>
          <t>TEAM PLAYERS</t>
        </is>
      </c>
      <c r="C37" s="5">
        <f>COUNTIF('All tests'!$A:$A,A37)</f>
        <v/>
      </c>
      <c r="D37" s="5">
        <f>COUNTIFS('All tests'!$A:$A,$A37,'All tests'!$I:$I,"Pass")</f>
        <v/>
      </c>
      <c r="E37" s="5">
        <f>COUNTIFS('All tests'!$A:$A,$A37,'All tests'!$I:$I,"Fail")</f>
        <v/>
      </c>
      <c r="F37" s="5">
        <f>COUNTIFS('All tests'!$A:$A,$A37,'All tests'!$I:$I,"Blocked")</f>
        <v/>
      </c>
      <c r="G37" s="5">
        <f>COUNTIFS('All tests'!$A:$A,$A37,'All tests'!$I:$I,"N/A")</f>
        <v/>
      </c>
      <c r="H37" s="5">
        <f>C37-SUM(D37:G37)</f>
        <v/>
      </c>
      <c r="I37" s="6">
        <f>IF(C37=0,0,SUM(D37:G37)/C37)</f>
        <v/>
      </c>
    </row>
    <row r="38">
      <c r="A38" s="5" t="n">
        <v>38</v>
      </c>
      <c r="B38" s="5" t="inlineStr">
        <is>
          <t>TEAM OPTIONS TAB</t>
        </is>
      </c>
      <c r="C38" s="5">
        <f>COUNTIF('All tests'!$A:$A,A38)</f>
        <v/>
      </c>
      <c r="D38" s="5">
        <f>COUNTIFS('All tests'!$A:$A,$A38,'All tests'!$I:$I,"Pass")</f>
        <v/>
      </c>
      <c r="E38" s="5">
        <f>COUNTIFS('All tests'!$A:$A,$A38,'All tests'!$I:$I,"Fail")</f>
        <v/>
      </c>
      <c r="F38" s="5">
        <f>COUNTIFS('All tests'!$A:$A,$A38,'All tests'!$I:$I,"Blocked")</f>
        <v/>
      </c>
      <c r="G38" s="5">
        <f>COUNTIFS('All tests'!$A:$A,$A38,'All tests'!$I:$I,"N/A")</f>
        <v/>
      </c>
      <c r="H38" s="5">
        <f>C38-SUM(D38:G38)</f>
        <v/>
      </c>
      <c r="I38" s="6">
        <f>IF(C38=0,0,SUM(D38:G38)/C38)</f>
        <v/>
      </c>
    </row>
    <row r="39">
      <c r="A39" s="5" t="n">
        <v>39</v>
      </c>
      <c r="B39" s="5" t="inlineStr">
        <is>
          <t>SEASON HUB SCREENS</t>
        </is>
      </c>
      <c r="C39" s="5">
        <f>COUNTIF('All tests'!$A:$A,A39)</f>
        <v/>
      </c>
      <c r="D39" s="5">
        <f>COUNTIFS('All tests'!$A:$A,$A39,'All tests'!$I:$I,"Pass")</f>
        <v/>
      </c>
      <c r="E39" s="5">
        <f>COUNTIFS('All tests'!$A:$A,$A39,'All tests'!$I:$I,"Fail")</f>
        <v/>
      </c>
      <c r="F39" s="5">
        <f>COUNTIFS('All tests'!$A:$A,$A39,'All tests'!$I:$I,"Blocked")</f>
        <v/>
      </c>
      <c r="G39" s="5">
        <f>COUNTIFS('All tests'!$A:$A,$A39,'All tests'!$I:$I,"N/A")</f>
        <v/>
      </c>
      <c r="H39" s="5">
        <f>C39-SUM(D39:G39)</f>
        <v/>
      </c>
      <c r="I39" s="6">
        <f>IF(C39=0,0,SUM(D39:G39)/C39)</f>
        <v/>
      </c>
    </row>
    <row r="40">
      <c r="A40" s="5" t="n">
        <v>40</v>
      </c>
      <c r="B40" s="5" t="inlineStr">
        <is>
          <t>TEAM CHAT</t>
        </is>
      </c>
      <c r="C40" s="5">
        <f>COUNTIF('All tests'!$A:$A,A40)</f>
        <v/>
      </c>
      <c r="D40" s="5">
        <f>COUNTIFS('All tests'!$A:$A,$A40,'All tests'!$I:$I,"Pass")</f>
        <v/>
      </c>
      <c r="E40" s="5">
        <f>COUNTIFS('All tests'!$A:$A,$A40,'All tests'!$I:$I,"Fail")</f>
        <v/>
      </c>
      <c r="F40" s="5">
        <f>COUNTIFS('All tests'!$A:$A,$A40,'All tests'!$I:$I,"Blocked")</f>
        <v/>
      </c>
      <c r="G40" s="5">
        <f>COUNTIFS('All tests'!$A:$A,$A40,'All tests'!$I:$I,"N/A")</f>
        <v/>
      </c>
      <c r="H40" s="5">
        <f>C40-SUM(D40:G40)</f>
        <v/>
      </c>
      <c r="I40" s="6">
        <f>IF(C40=0,0,SUM(D40:G40)/C40)</f>
        <v/>
      </c>
    </row>
    <row r="41">
      <c r="A41" s="5" t="n">
        <v>41</v>
      </c>
      <c r="B41" s="5" t="inlineStr">
        <is>
          <t>GUARDIAN PORTAL</t>
        </is>
      </c>
      <c r="C41" s="5">
        <f>COUNTIF('All tests'!$A:$A,A41)</f>
        <v/>
      </c>
      <c r="D41" s="5">
        <f>COUNTIFS('All tests'!$A:$A,$A41,'All tests'!$I:$I,"Pass")</f>
        <v/>
      </c>
      <c r="E41" s="5">
        <f>COUNTIFS('All tests'!$A:$A,$A41,'All tests'!$I:$I,"Fail")</f>
        <v/>
      </c>
      <c r="F41" s="5">
        <f>COUNTIFS('All tests'!$A:$A,$A41,'All tests'!$I:$I,"Blocked")</f>
        <v/>
      </c>
      <c r="G41" s="5">
        <f>COUNTIFS('All tests'!$A:$A,$A41,'All tests'!$I:$I,"N/A")</f>
        <v/>
      </c>
      <c r="H41" s="5">
        <f>C41-SUM(D41:G41)</f>
        <v/>
      </c>
      <c r="I41" s="6">
        <f>IF(C41=0,0,SUM(D41:G41)/C41)</f>
        <v/>
      </c>
    </row>
    <row r="42">
      <c r="A42" s="5" t="n">
        <v>42</v>
      </c>
      <c r="B42" s="5" t="inlineStr">
        <is>
          <t>PLAYER PROFILES AND SHARED ATHLETES</t>
        </is>
      </c>
      <c r="C42" s="5">
        <f>COUNTIF('All tests'!$A:$A,A42)</f>
        <v/>
      </c>
      <c r="D42" s="5">
        <f>COUNTIFS('All tests'!$A:$A,$A42,'All tests'!$I:$I,"Pass")</f>
        <v/>
      </c>
      <c r="E42" s="5">
        <f>COUNTIFS('All tests'!$A:$A,$A42,'All tests'!$I:$I,"Fail")</f>
        <v/>
      </c>
      <c r="F42" s="5">
        <f>COUNTIFS('All tests'!$A:$A,$A42,'All tests'!$I:$I,"Blocked")</f>
        <v/>
      </c>
      <c r="G42" s="5">
        <f>COUNTIFS('All tests'!$A:$A,$A42,'All tests'!$I:$I,"N/A")</f>
        <v/>
      </c>
      <c r="H42" s="5">
        <f>C42-SUM(D42:G42)</f>
        <v/>
      </c>
      <c r="I42" s="6">
        <f>IF(C42=0,0,SUM(D42:G42)/C42)</f>
        <v/>
      </c>
    </row>
    <row r="43">
      <c r="A43" s="5" t="n">
        <v>43</v>
      </c>
      <c r="B43" s="5" t="inlineStr">
        <is>
          <t>PAYMENTS, STRIPE CONNECT, FEES</t>
        </is>
      </c>
      <c r="C43" s="5">
        <f>COUNTIF('All tests'!$A:$A,A43)</f>
        <v/>
      </c>
      <c r="D43" s="5">
        <f>COUNTIFS('All tests'!$A:$A,$A43,'All tests'!$I:$I,"Pass")</f>
        <v/>
      </c>
      <c r="E43" s="5">
        <f>COUNTIFS('All tests'!$A:$A,$A43,'All tests'!$I:$I,"Fail")</f>
        <v/>
      </c>
      <c r="F43" s="5">
        <f>COUNTIFS('All tests'!$A:$A,$A43,'All tests'!$I:$I,"Blocked")</f>
        <v/>
      </c>
      <c r="G43" s="5">
        <f>COUNTIFS('All tests'!$A:$A,$A43,'All tests'!$I:$I,"N/A")</f>
        <v/>
      </c>
      <c r="H43" s="5">
        <f>C43-SUM(D43:G43)</f>
        <v/>
      </c>
      <c r="I43" s="6">
        <f>IF(C43=0,0,SUM(D43:G43)/C43)</f>
        <v/>
      </c>
    </row>
    <row r="44">
      <c r="A44" s="5" t="n">
        <v>44</v>
      </c>
      <c r="B44" s="5" t="inlineStr">
        <is>
          <t>PLANS, UPGRADE, BILLING, LOYALTY</t>
        </is>
      </c>
      <c r="C44" s="5">
        <f>COUNTIF('All tests'!$A:$A,A44)</f>
        <v/>
      </c>
      <c r="D44" s="5">
        <f>COUNTIFS('All tests'!$A:$A,$A44,'All tests'!$I:$I,"Pass")</f>
        <v/>
      </c>
      <c r="E44" s="5">
        <f>COUNTIFS('All tests'!$A:$A,$A44,'All tests'!$I:$I,"Fail")</f>
        <v/>
      </c>
      <c r="F44" s="5">
        <f>COUNTIFS('All tests'!$A:$A,$A44,'All tests'!$I:$I,"Blocked")</f>
        <v/>
      </c>
      <c r="G44" s="5">
        <f>COUNTIFS('All tests'!$A:$A,$A44,'All tests'!$I:$I,"N/A")</f>
        <v/>
      </c>
      <c r="H44" s="5">
        <f>C44-SUM(D44:G44)</f>
        <v/>
      </c>
      <c r="I44" s="6">
        <f>IF(C44=0,0,SUM(D44:G44)/C44)</f>
        <v/>
      </c>
    </row>
    <row r="45">
      <c r="A45" s="5" t="n">
        <v>45</v>
      </c>
      <c r="B45" s="5" t="inlineStr">
        <is>
          <t>PROFILE AND ACCOUNT</t>
        </is>
      </c>
      <c r="C45" s="5">
        <f>COUNTIF('All tests'!$A:$A,A45)</f>
        <v/>
      </c>
      <c r="D45" s="5">
        <f>COUNTIFS('All tests'!$A:$A,$A45,'All tests'!$I:$I,"Pass")</f>
        <v/>
      </c>
      <c r="E45" s="5">
        <f>COUNTIFS('All tests'!$A:$A,$A45,'All tests'!$I:$I,"Fail")</f>
        <v/>
      </c>
      <c r="F45" s="5">
        <f>COUNTIFS('All tests'!$A:$A,$A45,'All tests'!$I:$I,"Blocked")</f>
        <v/>
      </c>
      <c r="G45" s="5">
        <f>COUNTIFS('All tests'!$A:$A,$A45,'All tests'!$I:$I,"N/A")</f>
        <v/>
      </c>
      <c r="H45" s="5">
        <f>C45-SUM(D45:G45)</f>
        <v/>
      </c>
      <c r="I45" s="6">
        <f>IF(C45=0,0,SUM(D45:G45)/C45)</f>
        <v/>
      </c>
    </row>
    <row r="46">
      <c r="A46" s="5" t="n">
        <v>46</v>
      </c>
      <c r="B46" s="5" t="inlineStr">
        <is>
          <t>SEARCH</t>
        </is>
      </c>
      <c r="C46" s="5">
        <f>COUNTIF('All tests'!$A:$A,A46)</f>
        <v/>
      </c>
      <c r="D46" s="5">
        <f>COUNTIFS('All tests'!$A:$A,$A46,'All tests'!$I:$I,"Pass")</f>
        <v/>
      </c>
      <c r="E46" s="5">
        <f>COUNTIFS('All tests'!$A:$A,$A46,'All tests'!$I:$I,"Fail")</f>
        <v/>
      </c>
      <c r="F46" s="5">
        <f>COUNTIFS('All tests'!$A:$A,$A46,'All tests'!$I:$I,"Blocked")</f>
        <v/>
      </c>
      <c r="G46" s="5">
        <f>COUNTIFS('All tests'!$A:$A,$A46,'All tests'!$I:$I,"N/A")</f>
        <v/>
      </c>
      <c r="H46" s="5">
        <f>C46-SUM(D46:G46)</f>
        <v/>
      </c>
      <c r="I46" s="6">
        <f>IF(C46=0,0,SUM(D46:G46)/C46)</f>
        <v/>
      </c>
    </row>
    <row r="47">
      <c r="A47" s="5" t="n">
        <v>47</v>
      </c>
      <c r="B47" s="5" t="inlineStr">
        <is>
          <t>ORGANIZATION, ENTERPRISE, ADMIN</t>
        </is>
      </c>
      <c r="C47" s="5">
        <f>COUNTIF('All tests'!$A:$A,A47)</f>
        <v/>
      </c>
      <c r="D47" s="5">
        <f>COUNTIFS('All tests'!$A:$A,$A47,'All tests'!$I:$I,"Pass")</f>
        <v/>
      </c>
      <c r="E47" s="5">
        <f>COUNTIFS('All tests'!$A:$A,$A47,'All tests'!$I:$I,"Fail")</f>
        <v/>
      </c>
      <c r="F47" s="5">
        <f>COUNTIFS('All tests'!$A:$A,$A47,'All tests'!$I:$I,"Blocked")</f>
        <v/>
      </c>
      <c r="G47" s="5">
        <f>COUNTIFS('All tests'!$A:$A,$A47,'All tests'!$I:$I,"N/A")</f>
        <v/>
      </c>
      <c r="H47" s="5">
        <f>C47-SUM(D47:G47)</f>
        <v/>
      </c>
      <c r="I47" s="6">
        <f>IF(C47=0,0,SUM(D47:G47)/C47)</f>
        <v/>
      </c>
    </row>
    <row r="48">
      <c r="A48" s="5" t="n">
        <v>48</v>
      </c>
      <c r="B48" s="5" t="inlineStr">
        <is>
          <t>FEEDBACK</t>
        </is>
      </c>
      <c r="C48" s="5">
        <f>COUNTIF('All tests'!$A:$A,A48)</f>
        <v/>
      </c>
      <c r="D48" s="5">
        <f>COUNTIFS('All tests'!$A:$A,$A48,'All tests'!$I:$I,"Pass")</f>
        <v/>
      </c>
      <c r="E48" s="5">
        <f>COUNTIFS('All tests'!$A:$A,$A48,'All tests'!$I:$I,"Fail")</f>
        <v/>
      </c>
      <c r="F48" s="5">
        <f>COUNTIFS('All tests'!$A:$A,$A48,'All tests'!$I:$I,"Blocked")</f>
        <v/>
      </c>
      <c r="G48" s="5">
        <f>COUNTIFS('All tests'!$A:$A,$A48,'All tests'!$I:$I,"N/A")</f>
        <v/>
      </c>
      <c r="H48" s="5">
        <f>C48-SUM(D48:G48)</f>
        <v/>
      </c>
      <c r="I48" s="6">
        <f>IF(C48=0,0,SUM(D48:G48)/C48)</f>
        <v/>
      </c>
    </row>
    <row r="49">
      <c r="A49" s="5" t="n">
        <v>49</v>
      </c>
      <c r="B49" s="5" t="inlineStr">
        <is>
          <t>CROSS-CUTTING QUALITY CHECKS (run on every build)</t>
        </is>
      </c>
      <c r="C49" s="5">
        <f>COUNTIF('All tests'!$A:$A,A49)</f>
        <v/>
      </c>
      <c r="D49" s="5">
        <f>COUNTIFS('All tests'!$A:$A,$A49,'All tests'!$I:$I,"Pass")</f>
        <v/>
      </c>
      <c r="E49" s="5">
        <f>COUNTIFS('All tests'!$A:$A,$A49,'All tests'!$I:$I,"Fail")</f>
        <v/>
      </c>
      <c r="F49" s="5">
        <f>COUNTIFS('All tests'!$A:$A,$A49,'All tests'!$I:$I,"Blocked")</f>
        <v/>
      </c>
      <c r="G49" s="5">
        <f>COUNTIFS('All tests'!$A:$A,$A49,'All tests'!$I:$I,"N/A")</f>
        <v/>
      </c>
      <c r="H49" s="5">
        <f>C49-SUM(D49:G49)</f>
        <v/>
      </c>
      <c r="I49" s="6">
        <f>IF(C49=0,0,SUM(D49:G49)/C49)</f>
        <v/>
      </c>
    </row>
    <row r="50">
      <c r="A50" s="5" t="n">
        <v>50</v>
      </c>
      <c r="B50" s="5" t="inlineStr">
        <is>
          <t>END-TO-END STORIES (run start to finish on a clean account)</t>
        </is>
      </c>
      <c r="C50" s="5">
        <f>COUNTIF('All tests'!$A:$A,A50)</f>
        <v/>
      </c>
      <c r="D50" s="5">
        <f>COUNTIFS('All tests'!$A:$A,$A50,'All tests'!$I:$I,"Pass")</f>
        <v/>
      </c>
      <c r="E50" s="5">
        <f>COUNTIFS('All tests'!$A:$A,$A50,'All tests'!$I:$I,"Fail")</f>
        <v/>
      </c>
      <c r="F50" s="5">
        <f>COUNTIFS('All tests'!$A:$A,$A50,'All tests'!$I:$I,"Blocked")</f>
        <v/>
      </c>
      <c r="G50" s="5">
        <f>COUNTIFS('All tests'!$A:$A,$A50,'All tests'!$I:$I,"N/A")</f>
        <v/>
      </c>
      <c r="H50" s="5">
        <f>C50-SUM(D50:G50)</f>
        <v/>
      </c>
      <c r="I50" s="6">
        <f>IF(C50=0,0,SUM(D50:G50)/C50)</f>
        <v/>
      </c>
    </row>
    <row r="51">
      <c r="A51" s="5" t="n">
        <v>51</v>
      </c>
      <c r="B51" s="5" t="inlineStr">
        <is>
          <t>WEB APP PARITY  (branch feat/shawn-feedback-web-parity)</t>
        </is>
      </c>
      <c r="C51" s="5">
        <f>COUNTIF('All tests'!$A:$A,A51)</f>
        <v/>
      </c>
      <c r="D51" s="5">
        <f>COUNTIFS('All tests'!$A:$A,$A51,'All tests'!$I:$I,"Pass")</f>
        <v/>
      </c>
      <c r="E51" s="5">
        <f>COUNTIFS('All tests'!$A:$A,$A51,'All tests'!$I:$I,"Fail")</f>
        <v/>
      </c>
      <c r="F51" s="5">
        <f>COUNTIFS('All tests'!$A:$A,$A51,'All tests'!$I:$I,"Blocked")</f>
        <v/>
      </c>
      <c r="G51" s="5">
        <f>COUNTIFS('All tests'!$A:$A,$A51,'All tests'!$I:$I,"N/A")</f>
        <v/>
      </c>
      <c r="H51" s="5">
        <f>C51-SUM(D51:G51)</f>
        <v/>
      </c>
      <c r="I51" s="6">
        <f>IF(C51=0,0,SUM(D51:G51)/C51)</f>
        <v/>
      </c>
    </row>
    <row r="52">
      <c r="B52" s="7" t="inlineStr">
        <is>
          <t>TOTAL</t>
        </is>
      </c>
      <c r="C52" s="7">
        <f>SUM(C2:C51)</f>
        <v/>
      </c>
      <c r="D52" s="7">
        <f>SUM(D2:D51)</f>
        <v/>
      </c>
      <c r="E52" s="7">
        <f>SUM(E2:E51)</f>
        <v/>
      </c>
      <c r="F52" s="7">
        <f>SUM(F2:F51)</f>
        <v/>
      </c>
      <c r="G52" s="7">
        <f>SUM(G2:G51)</f>
        <v/>
      </c>
      <c r="H52" s="7">
        <f>SUM(H2:H51)</f>
        <v/>
      </c>
      <c r="I52" s="8">
        <f>IF(C52=0,0,SUM(D52:G52)/C52)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3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8" customWidth="1" min="3" max="3"/>
    <col width="11" customWidth="1" min="4" max="4"/>
    <col width="26" customWidth="1" min="5" max="5"/>
    <col width="90" customWidth="1" min="6" max="6"/>
    <col width="10" customWidth="1" min="7" max="7"/>
    <col width="26" customWidth="1" min="8" max="8"/>
    <col width="10" customWidth="1" min="9" max="9"/>
    <col width="40" customWidth="1" min="10" max="10"/>
    <col width="14" customWidth="1" min="11" max="11"/>
    <col width="12" customWidth="1" min="12" max="12"/>
    <col width="20" customWidth="1" min="13" max="13"/>
  </cols>
  <sheetData>
    <row r="1">
      <c r="A1" s="9" t="inlineStr">
        <is>
          <t>Section</t>
        </is>
      </c>
      <c r="B1" s="9" t="inlineStr">
        <is>
          <t>Section title</t>
        </is>
      </c>
      <c r="C1" s="9" t="inlineStr">
        <is>
          <t>ID</t>
        </is>
      </c>
      <c r="D1" s="9" t="inlineStr">
        <is>
          <t>Phase</t>
        </is>
      </c>
      <c r="E1" s="9" t="inlineStr">
        <is>
          <t>Group</t>
        </is>
      </c>
      <c r="F1" s="9" t="inlineStr">
        <is>
          <t>Test case</t>
        </is>
      </c>
      <c r="G1" s="9" t="inlineStr">
        <is>
          <t>Verified (sim)</t>
        </is>
      </c>
      <c r="H1" s="9" t="inlineStr">
        <is>
          <t>Before result</t>
        </is>
      </c>
      <c r="I1" s="9" t="inlineStr">
        <is>
          <t>Status</t>
        </is>
      </c>
      <c r="J1" s="9" t="inlineStr">
        <is>
          <t>Actual result / notes</t>
        </is>
      </c>
      <c r="K1" s="9" t="inlineStr">
        <is>
          <t>Tester</t>
        </is>
      </c>
      <c r="L1" s="9" t="inlineStr">
        <is>
          <t>Date</t>
        </is>
      </c>
      <c r="M1" s="9" t="inlineStr">
        <is>
          <t>Bug link</t>
        </is>
      </c>
    </row>
    <row r="2">
      <c r="A2" s="10" t="n">
        <v>1</v>
      </c>
      <c r="B2" s="10" t="inlineStr">
        <is>
          <t>LOG OUT / DELETE ACCOUNT BLOCKED AT THE BOTTOM (Android)</t>
        </is>
      </c>
      <c r="C2" s="10" t="inlineStr">
        <is>
          <t>1.1</t>
        </is>
      </c>
      <c r="D2" s="10" t="inlineStr">
        <is>
          <t>Before</t>
        </is>
      </c>
      <c r="E2" s="10" t="inlineStr">
        <is>
          <t>BEFORE</t>
        </is>
      </c>
      <c r="F2" s="10" t="inlineStr">
        <is>
          <t>Android, 3-button nav. Profile &gt; scroll to very bottom. Expected (bug): "Log Out" is partly/fully hidden by the nav bar.</t>
        </is>
      </c>
      <c r="G2" s="10" t="inlineStr"/>
      <c r="H2" s="10" t="inlineStr"/>
      <c r="I2" s="10" t="inlineStr"/>
      <c r="J2" s="10" t="inlineStr"/>
      <c r="K2" s="10" t="inlineStr"/>
      <c r="L2" s="10" t="inlineStr"/>
      <c r="M2" s="10" t="inlineStr"/>
    </row>
    <row r="3">
      <c r="A3" s="10" t="n">
        <v>1</v>
      </c>
      <c r="B3" s="10" t="inlineStr">
        <is>
          <t>LOG OUT / DELETE ACCOUNT BLOCKED AT THE BOTTOM (Android)</t>
        </is>
      </c>
      <c r="C3" s="10" t="inlineStr">
        <is>
          <t>1.2</t>
        </is>
      </c>
      <c r="D3" s="10" t="inlineStr">
        <is>
          <t>Before</t>
        </is>
      </c>
      <c r="E3" s="10" t="inlineStr">
        <is>
          <t>BEFORE</t>
        </is>
      </c>
      <c r="F3" s="10" t="inlineStr">
        <is>
          <t>Try to tap the bottom edge of Log Out and Delete Account. Expected (bug): bottom edge is not tappable.</t>
        </is>
      </c>
      <c r="G3" s="10" t="inlineStr"/>
      <c r="H3" s="10" t="inlineStr"/>
      <c r="I3" s="10" t="inlineStr"/>
      <c r="J3" s="10" t="inlineStr"/>
      <c r="K3" s="10" t="inlineStr"/>
      <c r="L3" s="10" t="inlineStr"/>
      <c r="M3" s="10" t="inlineStr"/>
    </row>
    <row r="4">
      <c r="A4" s="10" t="n">
        <v>1</v>
      </c>
      <c r="B4" s="10" t="inlineStr">
        <is>
          <t>LOG OUT / DELETE ACCOUNT BLOCKED AT THE BOTTOM (Android)</t>
        </is>
      </c>
      <c r="C4" s="10" t="inlineStr">
        <is>
          <t>1.3</t>
        </is>
      </c>
      <c r="D4" s="10" t="inlineStr">
        <is>
          <t>After</t>
        </is>
      </c>
      <c r="E4" s="10" t="inlineStr">
        <is>
          <t>AFTER (expected)</t>
        </is>
      </c>
      <c r="F4" s="10" t="inlineStr">
        <is>
          <t>Android 3-button nav: Log Out fully visible with clear space below it, fully tappable.</t>
        </is>
      </c>
      <c r="G4" s="10" t="inlineStr"/>
      <c r="H4" s="10" t="inlineStr"/>
      <c r="I4" s="10" t="inlineStr"/>
      <c r="J4" s="10" t="inlineStr"/>
      <c r="K4" s="10" t="inlineStr"/>
      <c r="L4" s="10" t="inlineStr"/>
      <c r="M4" s="10" t="inlineStr"/>
    </row>
    <row r="5">
      <c r="A5" s="10" t="n">
        <v>1</v>
      </c>
      <c r="B5" s="10" t="inlineStr">
        <is>
          <t>LOG OUT / DELETE ACCOUNT BLOCKED AT THE BOTTOM (Android)</t>
        </is>
      </c>
      <c r="C5" s="10" t="inlineStr">
        <is>
          <t>1.4</t>
        </is>
      </c>
      <c r="D5" s="10" t="inlineStr">
        <is>
          <t>After</t>
        </is>
      </c>
      <c r="E5" s="10" t="inlineStr">
        <is>
          <t>AFTER (expected)</t>
        </is>
      </c>
      <c r="F5" s="10" t="inlineStr">
        <is>
          <t>Android gesture nav: no large empty band at the bottom.</t>
        </is>
      </c>
      <c r="G5" s="10" t="inlineStr"/>
      <c r="H5" s="10" t="inlineStr"/>
      <c r="I5" s="10" t="inlineStr"/>
      <c r="J5" s="10" t="inlineStr"/>
      <c r="K5" s="10" t="inlineStr"/>
      <c r="L5" s="10" t="inlineStr"/>
      <c r="M5" s="10" t="inlineStr"/>
    </row>
    <row r="6">
      <c r="A6" s="10" t="n">
        <v>1</v>
      </c>
      <c r="B6" s="10" t="inlineStr">
        <is>
          <t>LOG OUT / DELETE ACCOUNT BLOCKED AT THE BOTTOM (Android)</t>
        </is>
      </c>
      <c r="C6" s="10" t="inlineStr">
        <is>
          <t>1.5</t>
        </is>
      </c>
      <c r="D6" s="10" t="inlineStr">
        <is>
          <t>After</t>
        </is>
      </c>
      <c r="E6" s="10" t="inlineStr">
        <is>
          <t>AFTER (expected)</t>
        </is>
      </c>
      <c r="F6" s="10" t="inlineStr">
        <is>
          <t>Android 13/14 (no forced edge-to-edge): NO extra blank space added.</t>
        </is>
      </c>
      <c r="G6" s="10" t="inlineStr"/>
      <c r="H6" s="10" t="inlineStr"/>
      <c r="I6" s="10" t="inlineStr"/>
      <c r="J6" s="10" t="inlineStr"/>
      <c r="K6" s="10" t="inlineStr"/>
      <c r="L6" s="10" t="inlineStr"/>
      <c r="M6" s="10" t="inlineStr"/>
    </row>
    <row r="7">
      <c r="A7" s="10" t="n">
        <v>1</v>
      </c>
      <c r="B7" s="10" t="inlineStr">
        <is>
          <t>LOG OUT / DELETE ACCOUNT BLOCKED AT THE BOTTOM (Android)</t>
        </is>
      </c>
      <c r="C7" s="10" t="inlineStr">
        <is>
          <t>1.6</t>
        </is>
      </c>
      <c r="D7" s="10" t="inlineStr">
        <is>
          <t>After</t>
        </is>
      </c>
      <c r="E7" s="10" t="inlineStr">
        <is>
          <t>AFTER (expected)</t>
        </is>
      </c>
      <c r="F7" s="10" t="inlineStr">
        <is>
          <t>Font size 130-200%: Delete Account and Log Out still reachable.</t>
        </is>
      </c>
      <c r="G7" s="10" t="inlineStr"/>
      <c r="H7" s="10" t="inlineStr"/>
      <c r="I7" s="10" t="inlineStr"/>
      <c r="J7" s="10" t="inlineStr"/>
      <c r="K7" s="10" t="inlineStr"/>
      <c r="L7" s="10" t="inlineStr"/>
      <c r="M7" s="10" t="inlineStr"/>
    </row>
    <row r="8">
      <c r="A8" s="10" t="n">
        <v>1</v>
      </c>
      <c r="B8" s="10" t="inlineStr">
        <is>
          <t>LOG OUT / DELETE ACCOUNT BLOCKED AT THE BOTTOM (Android)</t>
        </is>
      </c>
      <c r="C8" s="10" t="inlineStr">
        <is>
          <t>1.7</t>
        </is>
      </c>
      <c r="D8" s="10" t="inlineStr">
        <is>
          <t>After</t>
        </is>
      </c>
      <c r="E8" s="10" t="inlineStr">
        <is>
          <t>AFTER (expected)</t>
        </is>
      </c>
      <c r="F8" s="10" t="inlineStr">
        <is>
          <t>Landscape: nothing hidden behind the side nav bar.</t>
        </is>
      </c>
      <c r="G8" s="10" t="inlineStr"/>
      <c r="H8" s="10" t="inlineStr"/>
      <c r="I8" s="10" t="inlineStr"/>
      <c r="J8" s="10" t="inlineStr"/>
      <c r="K8" s="10" t="inlineStr"/>
      <c r="L8" s="10" t="inlineStr"/>
      <c r="M8" s="10" t="inlineStr"/>
    </row>
    <row r="9">
      <c r="A9" s="10" t="n">
        <v>1</v>
      </c>
      <c r="B9" s="10" t="inlineStr">
        <is>
          <t>LOG OUT / DELETE ACCOUNT BLOCKED AT THE BOTTOM (Android)</t>
        </is>
      </c>
      <c r="C9" s="10" t="inlineStr">
        <is>
          <t>1.8</t>
        </is>
      </c>
      <c r="D9" s="10" t="inlineStr">
        <is>
          <t>After</t>
        </is>
      </c>
      <c r="E9" s="10" t="inlineStr">
        <is>
          <t>AFTER (expected)</t>
        </is>
      </c>
      <c r="F9" s="10" t="inlineStr">
        <is>
          <t>Guardian-only account (some cards hidden): Danger Zone and Log Out still reachable.</t>
        </is>
      </c>
      <c r="G9" s="10" t="inlineStr"/>
      <c r="H9" s="10" t="inlineStr"/>
      <c r="I9" s="10" t="inlineStr"/>
      <c r="J9" s="10" t="inlineStr"/>
      <c r="K9" s="10" t="inlineStr"/>
      <c r="L9" s="10" t="inlineStr"/>
      <c r="M9" s="10" t="inlineStr"/>
    </row>
    <row r="10">
      <c r="A10" s="10" t="n">
        <v>1</v>
      </c>
      <c r="B10" s="10" t="inlineStr">
        <is>
          <t>LOG OUT / DELETE ACCOUNT BLOCKED AT THE BOTTOM (Android)</t>
        </is>
      </c>
      <c r="C10" s="10" t="inlineStr">
        <is>
          <t>1.9</t>
        </is>
      </c>
      <c r="D10" s="10" t="inlineStr">
        <is>
          <t>After</t>
        </is>
      </c>
      <c r="E10" s="10" t="inlineStr">
        <is>
          <t>AFTER (expected)</t>
        </is>
      </c>
      <c r="F10" s="10" t="inlineStr">
        <is>
          <t>Delete Account: dialog appears; Cancel keeps you signed in.</t>
        </is>
      </c>
      <c r="G10" s="10" t="inlineStr"/>
      <c r="H10" s="10" t="inlineStr"/>
      <c r="I10" s="10" t="inlineStr"/>
      <c r="J10" s="10" t="inlineStr"/>
      <c r="K10" s="10" t="inlineStr"/>
      <c r="L10" s="10" t="inlineStr"/>
      <c r="M10" s="10" t="inlineStr"/>
    </row>
    <row r="11">
      <c r="A11" s="10" t="n">
        <v>1</v>
      </c>
      <c r="B11" s="10" t="inlineStr">
        <is>
          <t>LOG OUT / DELETE ACCOUNT BLOCKED AT THE BOTTOM (Android)</t>
        </is>
      </c>
      <c r="C11" s="10" t="inlineStr">
        <is>
          <t>1.10</t>
        </is>
      </c>
      <c r="D11" s="10" t="inlineStr">
        <is>
          <t>After</t>
        </is>
      </c>
      <c r="E11" s="10" t="inlineStr">
        <is>
          <t>AFTER (expected)</t>
        </is>
      </c>
      <c r="F11" s="10" t="inlineStr">
        <is>
          <t>Log Out: shows loading state, ends on login screen.</t>
        </is>
      </c>
      <c r="G11" s="10" t="inlineStr"/>
      <c r="H11" s="10" t="inlineStr"/>
      <c r="I11" s="10" t="inlineStr"/>
      <c r="J11" s="10" t="inlineStr"/>
      <c r="K11" s="10" t="inlineStr"/>
      <c r="L11" s="10" t="inlineStr"/>
      <c r="M11" s="10" t="inlineStr"/>
    </row>
    <row r="12">
      <c r="A12" s="10" t="n">
        <v>1</v>
      </c>
      <c r="B12" s="10" t="inlineStr">
        <is>
          <t>LOG OUT / DELETE ACCOUNT BLOCKED AT THE BOTTOM (Android)</t>
        </is>
      </c>
      <c r="C12" s="10" t="inlineStr">
        <is>
          <t>1.11</t>
        </is>
      </c>
      <c r="D12" s="10" t="inlineStr">
        <is>
          <t>After</t>
        </is>
      </c>
      <c r="E12" s="10" t="inlineStr">
        <is>
          <t>AFTER (expected)</t>
        </is>
      </c>
      <c r="F12" s="10" t="inlineStr">
        <is>
          <t>iPhone: Profile looks unchanged (no new gap).</t>
        </is>
      </c>
      <c r="G12" s="10" t="inlineStr"/>
      <c r="H12" s="10" t="inlineStr"/>
      <c r="I12" s="10" t="inlineStr"/>
      <c r="J12" s="10" t="inlineStr"/>
      <c r="K12" s="10" t="inlineStr"/>
      <c r="L12" s="10" t="inlineStr"/>
      <c r="M12" s="10" t="inlineStr"/>
    </row>
    <row r="13">
      <c r="A13" s="10" t="n">
        <v>1</v>
      </c>
      <c r="B13" s="10" t="inlineStr">
        <is>
          <t>LOG OUT / DELETE ACCOUNT BLOCKED AT THE BOTTOM (Android)</t>
        </is>
      </c>
      <c r="C13" s="10" t="inlineStr">
        <is>
          <t>1.12</t>
        </is>
      </c>
      <c r="D13" s="10" t="inlineStr">
        <is>
          <t>After</t>
        </is>
      </c>
      <c r="E13" s="10" t="inlineStr">
        <is>
          <t>AFTER (expected)</t>
        </is>
      </c>
      <c r="F13" s="10" t="inlineStr">
        <is>
          <t>Other long scroll screens (season settings, team settings, forms ending in Save): last button fully visible, no double padding.</t>
        </is>
      </c>
      <c r="G13" s="10" t="inlineStr"/>
      <c r="H13" s="10" t="inlineStr"/>
      <c r="I13" s="10" t="inlineStr"/>
      <c r="J13" s="10" t="inlineStr"/>
      <c r="K13" s="10" t="inlineStr"/>
      <c r="L13" s="10" t="inlineStr"/>
      <c r="M13" s="10" t="inlineStr"/>
    </row>
    <row r="14">
      <c r="A14" s="10" t="n">
        <v>1</v>
      </c>
      <c r="B14" s="10" t="inlineStr">
        <is>
          <t>LOG OUT / DELETE ACCOUNT BLOCKED AT THE BOTTOM (Android)</t>
        </is>
      </c>
      <c r="C14" s="10" t="inlineStr">
        <is>
          <t>1.13</t>
        </is>
      </c>
      <c r="D14" s="10" t="inlineStr">
        <is>
          <t>After</t>
        </is>
      </c>
      <c r="E14" s="10" t="inlineStr">
        <is>
          <t>AFTER (expected)</t>
        </is>
      </c>
      <c r="F14" s="10" t="inlineStr">
        <is>
          <t>Screens inside the bottom tab bar (evaluation Settings, Export, Rubrics...): NO extra gap above the tab bar.</t>
        </is>
      </c>
      <c r="G14" s="10" t="inlineStr"/>
      <c r="H14" s="10" t="inlineStr"/>
      <c r="I14" s="10" t="inlineStr"/>
      <c r="J14" s="10" t="inlineStr"/>
      <c r="K14" s="10" t="inlineStr"/>
      <c r="L14" s="10" t="inlineStr"/>
      <c r="M14" s="10" t="inlineStr"/>
    </row>
    <row r="15">
      <c r="A15" s="10" t="n">
        <v>2</v>
      </c>
      <c r="B15" s="10" t="inlineStr">
        <is>
          <t>EXCEL (.xlsx) IMPORT ONLY IMPORTS ONE NAME</t>
        </is>
      </c>
      <c r="C15" s="10" t="inlineStr">
        <is>
          <t>2.1</t>
        </is>
      </c>
      <c r="D15" s="10" t="inlineStr">
        <is>
          <t>Before</t>
        </is>
      </c>
      <c r="E15" s="10" t="inlineStr">
        <is>
          <t>BEFORE</t>
        </is>
      </c>
      <c r="F15" s="10" t="inlineStr">
        <is>
          <t>Pick roster.xlsx (or the customer's real file). Read the line "N rows below the headings on line X". Expected (bug): N = 1, or button says "Import 1 player".</t>
        </is>
      </c>
      <c r="G15" s="10" t="inlineStr"/>
      <c r="H15" s="10" t="inlineStr"/>
      <c r="I15" s="10" t="inlineStr"/>
      <c r="J15" s="10" t="inlineStr"/>
      <c r="K15" s="10" t="inlineStr"/>
      <c r="L15" s="10" t="inlineStr"/>
      <c r="M15" s="10" t="inlineStr"/>
    </row>
    <row r="16">
      <c r="A16" s="10" t="n">
        <v>2</v>
      </c>
      <c r="B16" s="10" t="inlineStr">
        <is>
          <t>EXCEL (.xlsx) IMPORT ONLY IMPORTS ONE NAME</t>
        </is>
      </c>
      <c r="C16" s="10" t="inlineStr">
        <is>
          <t>2.2</t>
        </is>
      </c>
      <c r="D16" s="10" t="inlineStr">
        <is>
          <t>Before</t>
        </is>
      </c>
      <c r="E16" s="10" t="inlineStr">
        <is>
          <t>BEFORE</t>
        </is>
      </c>
      <c r="F16" s="10" t="inlineStr">
        <is>
          <t>Same names as .csv. Expected: 20 rows (CSV always worked).</t>
        </is>
      </c>
      <c r="G16" s="10" t="inlineStr"/>
      <c r="H16" s="10" t="inlineStr"/>
      <c r="I16" s="10" t="inlineStr"/>
      <c r="J16" s="10" t="inlineStr"/>
      <c r="K16" s="10" t="inlineStr"/>
      <c r="L16" s="10" t="inlineStr"/>
      <c r="M16" s="10" t="inlineStr"/>
    </row>
    <row r="17">
      <c r="A17" s="10" t="n">
        <v>2</v>
      </c>
      <c r="B17" s="10" t="inlineStr">
        <is>
          <t>EXCEL (.xlsx) IMPORT ONLY IMPORTS ONE NAME</t>
        </is>
      </c>
      <c r="C17" s="10" t="inlineStr">
        <is>
          <t>2.3</t>
        </is>
      </c>
      <c r="D17" s="10" t="inlineStr">
        <is>
          <t>Before</t>
        </is>
      </c>
      <c r="E17" s="10" t="inlineStr">
        <is>
          <t>BEFORE</t>
        </is>
      </c>
      <c r="F17" s="10" t="inlineStr">
        <is>
          <t>roster_onecol.csv / a single "Name" column xlsx. Expected (bug): "No column headings found".</t>
        </is>
      </c>
      <c r="G17" s="10" t="inlineStr"/>
      <c r="H17" s="10" t="inlineStr"/>
      <c r="I17" s="10" t="inlineStr"/>
      <c r="J17" s="10" t="inlineStr"/>
      <c r="K17" s="10" t="inlineStr"/>
      <c r="L17" s="10" t="inlineStr"/>
      <c r="M17" s="10" t="inlineStr"/>
    </row>
    <row r="18">
      <c r="A18" s="10" t="n">
        <v>2</v>
      </c>
      <c r="B18" s="10" t="inlineStr">
        <is>
          <t>EXCEL (.xlsx) IMPORT ONLY IMPORTS ONE NAME</t>
        </is>
      </c>
      <c r="C18" s="10" t="inlineStr">
        <is>
          <t>2.4</t>
        </is>
      </c>
      <c r="D18" s="10" t="inlineStr">
        <is>
          <t>Before</t>
        </is>
      </c>
      <c r="E18" s="10" t="inlineStr">
        <is>
          <t>BEFORE</t>
        </is>
      </c>
      <c r="F18" s="10" t="inlineStr">
        <is>
          <t>roster_cover.xlsx (Cover tab first). Expected (bug): reads the empty Cover tab.</t>
        </is>
      </c>
      <c r="G18" s="10" t="inlineStr"/>
      <c r="H18" s="10" t="inlineStr"/>
      <c r="I18" s="10" t="inlineStr"/>
      <c r="J18" s="10" t="inlineStr"/>
      <c r="K18" s="10" t="inlineStr"/>
      <c r="L18" s="10" t="inlineStr"/>
      <c r="M18" s="10" t="inlineStr"/>
    </row>
    <row r="19">
      <c r="A19" s="10" t="n">
        <v>2</v>
      </c>
      <c r="B19" s="10" t="inlineStr">
        <is>
          <t>EXCEL (.xlsx) IMPORT ONLY IMPORTS ONE NAME</t>
        </is>
      </c>
      <c r="C19" s="10" t="inlineStr">
        <is>
          <t>2.5</t>
        </is>
      </c>
      <c r="D19" s="10" t="inlineStr">
        <is>
          <t>After</t>
        </is>
      </c>
      <c r="E19" s="10" t="inlineStr">
        <is>
          <t>AFTER (expected)</t>
        </is>
      </c>
      <c r="F19" s="10" t="inlineStr">
        <is>
          <t>roster.xlsx -&gt; 20 rows, "Import 20 players".</t>
        </is>
      </c>
      <c r="G19" s="10" t="inlineStr"/>
      <c r="H19" s="10" t="inlineStr"/>
      <c r="I19" s="10" t="inlineStr"/>
      <c r="J19" s="10" t="inlineStr"/>
      <c r="K19" s="10" t="inlineStr"/>
      <c r="L19" s="10" t="inlineStr"/>
      <c r="M19" s="10" t="inlineStr"/>
    </row>
    <row r="20">
      <c r="A20" s="10" t="n">
        <v>2</v>
      </c>
      <c r="B20" s="10" t="inlineStr">
        <is>
          <t>EXCEL (.xlsx) IMPORT ONLY IMPORTS ONE NAME</t>
        </is>
      </c>
      <c r="C20" s="10" t="inlineStr">
        <is>
          <t>2.6</t>
        </is>
      </c>
      <c r="D20" s="10" t="inlineStr">
        <is>
          <t>After</t>
        </is>
      </c>
      <c r="E20" s="10" t="inlineStr">
        <is>
          <t>AFTER (expected)</t>
        </is>
      </c>
      <c r="F20" s="10" t="inlineStr">
        <is>
          <t>roster_gsheets.xlsx -&gt; 20 rows.</t>
        </is>
      </c>
      <c r="G20" s="10" t="inlineStr"/>
      <c r="H20" s="10" t="inlineStr"/>
      <c r="I20" s="10" t="inlineStr"/>
      <c r="J20" s="10" t="inlineStr"/>
      <c r="K20" s="10" t="inlineStr"/>
      <c r="L20" s="10" t="inlineStr"/>
      <c r="M20" s="10" t="inlineStr"/>
    </row>
    <row r="21">
      <c r="A21" s="10" t="n">
        <v>2</v>
      </c>
      <c r="B21" s="10" t="inlineStr">
        <is>
          <t>EXCEL (.xlsx) IMPORT ONLY IMPORTS ONE NAME</t>
        </is>
      </c>
      <c r="C21" s="10" t="inlineStr">
        <is>
          <t>2.7</t>
        </is>
      </c>
      <c r="D21" s="10" t="inlineStr">
        <is>
          <t>After</t>
        </is>
      </c>
      <c r="E21" s="10" t="inlineStr">
        <is>
          <t>AFTER (expected)</t>
        </is>
      </c>
      <c r="F21" s="10" t="inlineStr">
        <is>
          <t>roster_numbers.xlsx -&gt; 20 rows.</t>
        </is>
      </c>
      <c r="G21" s="10" t="inlineStr"/>
      <c r="H21" s="10" t="inlineStr"/>
      <c r="I21" s="10" t="inlineStr"/>
      <c r="J21" s="10" t="inlineStr"/>
      <c r="K21" s="10" t="inlineStr"/>
      <c r="L21" s="10" t="inlineStr"/>
      <c r="M21" s="10" t="inlineStr"/>
    </row>
    <row r="22">
      <c r="A22" s="10" t="n">
        <v>2</v>
      </c>
      <c r="B22" s="10" t="inlineStr">
        <is>
          <t>EXCEL (.xlsx) IMPORT ONLY IMPORTS ONE NAME</t>
        </is>
      </c>
      <c r="C22" s="10" t="inlineStr">
        <is>
          <t>2.8</t>
        </is>
      </c>
      <c r="D22" s="10" t="inlineStr">
        <is>
          <t>After</t>
        </is>
      </c>
      <c r="E22" s="10" t="inlineStr">
        <is>
          <t>AFTER (expected)</t>
        </is>
      </c>
      <c r="F22" s="10" t="inlineStr">
        <is>
          <t>.xls (old Excel format) -&gt; 20 rows.</t>
        </is>
      </c>
      <c r="G22" s="10" t="inlineStr"/>
      <c r="H22" s="10" t="inlineStr"/>
      <c r="I22" s="10" t="inlineStr"/>
      <c r="J22" s="10" t="inlineStr"/>
      <c r="K22" s="10" t="inlineStr"/>
      <c r="L22" s="10" t="inlineStr"/>
      <c r="M22" s="10" t="inlineStr"/>
    </row>
    <row r="23">
      <c r="A23" s="10" t="n">
        <v>2</v>
      </c>
      <c r="B23" s="10" t="inlineStr">
        <is>
          <t>EXCEL (.xlsx) IMPORT ONLY IMPORTS ONE NAME</t>
        </is>
      </c>
      <c r="C23" s="10" t="inlineStr">
        <is>
          <t>2.9</t>
        </is>
      </c>
      <c r="D23" s="10" t="inlineStr">
        <is>
          <t>After</t>
        </is>
      </c>
      <c r="E23" s="10" t="inlineStr">
        <is>
          <t>AFTER (expected)</t>
        </is>
      </c>
      <c r="F23" s="10" t="inlineStr">
        <is>
          <t>Single "Name" column (csv + xlsx) -&gt; 20 rows, full names split into first/last.</t>
        </is>
      </c>
      <c r="G23" s="10" t="inlineStr"/>
      <c r="H23" s="10" t="inlineStr"/>
      <c r="I23" s="10" t="inlineStr"/>
      <c r="J23" s="10" t="inlineStr"/>
      <c r="K23" s="10" t="inlineStr"/>
      <c r="L23" s="10" t="inlineStr"/>
      <c r="M23" s="10" t="inlineStr"/>
    </row>
    <row r="24">
      <c r="A24" s="10" t="n">
        <v>2</v>
      </c>
      <c r="B24" s="10" t="inlineStr">
        <is>
          <t>EXCEL (.xlsx) IMPORT ONLY IMPORTS ONE NAME</t>
        </is>
      </c>
      <c r="C24" s="10" t="inlineStr">
        <is>
          <t>2.10</t>
        </is>
      </c>
      <c r="D24" s="10" t="inlineStr">
        <is>
          <t>After</t>
        </is>
      </c>
      <c r="E24" s="10" t="inlineStr">
        <is>
          <t>AFTER (expected)</t>
        </is>
      </c>
      <c r="F24" s="10" t="inlineStr">
        <is>
          <t>roster_cover.xlsx -&gt; opens on the "Roster" tab, 20 rows.</t>
        </is>
      </c>
      <c r="G24" s="10" t="inlineStr"/>
      <c r="H24" s="10" t="inlineStr"/>
      <c r="I24" s="10" t="inlineStr"/>
      <c r="J24" s="10" t="inlineStr"/>
      <c r="K24" s="10" t="inlineStr"/>
      <c r="L24" s="10" t="inlineStr"/>
      <c r="M24" s="10" t="inlineStr"/>
    </row>
    <row r="25">
      <c r="A25" s="10" t="n">
        <v>2</v>
      </c>
      <c r="B25" s="10" t="inlineStr">
        <is>
          <t>EXCEL (.xlsx) IMPORT ONLY IMPORTS ONE NAME</t>
        </is>
      </c>
      <c r="C25" s="10" t="inlineStr">
        <is>
          <t>2.11</t>
        </is>
      </c>
      <c r="D25" s="10" t="inlineStr">
        <is>
          <t>After</t>
        </is>
      </c>
      <c r="E25" s="10" t="inlineStr">
        <is>
          <t>AFTER (expected)</t>
        </is>
      </c>
      <c r="F25" s="10" t="inlineStr">
        <is>
          <t>Title row + blank spacer above headings -&gt; headings detected, row numbers in errors match Excel line numbers.</t>
        </is>
      </c>
      <c r="G25" s="10" t="inlineStr"/>
      <c r="H25" s="10" t="inlineStr"/>
      <c r="I25" s="10" t="inlineStr"/>
      <c r="J25" s="10" t="inlineStr"/>
      <c r="K25" s="10" t="inlineStr"/>
      <c r="L25" s="10" t="inlineStr"/>
      <c r="M25" s="10" t="inlineStr"/>
    </row>
    <row r="26">
      <c r="A26" s="10" t="n">
        <v>2</v>
      </c>
      <c r="B26" s="10" t="inlineStr">
        <is>
          <t>EXCEL (.xlsx) IMPORT ONLY IMPORTS ONE NAME</t>
        </is>
      </c>
      <c r="C26" s="10" t="inlineStr">
        <is>
          <t>2.12</t>
        </is>
      </c>
      <c r="D26" s="10" t="inlineStr">
        <is>
          <t>After</t>
        </is>
      </c>
      <c r="E26" s="10" t="inlineStr">
        <is>
          <t>AFTER (expected)</t>
        </is>
      </c>
      <c r="F26" s="10" t="inlineStr">
        <is>
          <t>Workbook with several tabs, roster on tab 2 -&gt; tab chips shown, switching tab reloads 20 rows.</t>
        </is>
      </c>
      <c r="G26" s="10" t="inlineStr"/>
      <c r="H26" s="10" t="inlineStr"/>
      <c r="I26" s="10" t="inlineStr"/>
      <c r="J26" s="10" t="inlineStr"/>
      <c r="K26" s="10" t="inlineStr"/>
      <c r="L26" s="10" t="inlineStr"/>
      <c r="M26" s="10" t="inlineStr"/>
    </row>
    <row r="27">
      <c r="A27" s="10" t="n">
        <v>2</v>
      </c>
      <c r="B27" s="10" t="inlineStr">
        <is>
          <t>EXCEL (.xlsx) IMPORT ONLY IMPORTS ONE NAME</t>
        </is>
      </c>
      <c r="C27" s="10" t="inlineStr">
        <is>
          <t>2.13</t>
        </is>
      </c>
      <c r="D27" s="10" t="inlineStr">
        <is>
          <t>After</t>
        </is>
      </c>
      <c r="E27" s="10" t="inlineStr">
        <is>
          <t>AFTER (expected)</t>
        </is>
      </c>
      <c r="F27" s="10" t="inlineStr">
        <is>
          <t>CSV with Windows line endings / BOM -&gt; 20 rows.</t>
        </is>
      </c>
      <c r="G27" s="10" t="inlineStr"/>
      <c r="H27" s="10" t="inlineStr"/>
      <c r="I27" s="10" t="inlineStr"/>
      <c r="J27" s="10" t="inlineStr"/>
      <c r="K27" s="10" t="inlineStr"/>
      <c r="L27" s="10" t="inlineStr"/>
      <c r="M27" s="10" t="inlineStr"/>
    </row>
    <row r="28">
      <c r="A28" s="10" t="n">
        <v>2</v>
      </c>
      <c r="B28" s="10" t="inlineStr">
        <is>
          <t>EXCEL (.xlsx) IMPORT ONLY IMPORTS ONE NAME</t>
        </is>
      </c>
      <c r="C28" s="10" t="inlineStr">
        <is>
          <t>2.14</t>
        </is>
      </c>
      <c r="D28" s="10" t="inlineStr">
        <is>
          <t>After</t>
        </is>
      </c>
      <c r="E28" s="10" t="inlineStr">
        <is>
          <t>AFTER (expected)</t>
        </is>
      </c>
      <c r="F28" s="10" t="inlineStr">
        <is>
          <t>Row with missing last name -&gt; flagged, other 19 "Ready".</t>
        </is>
      </c>
      <c r="G28" s="10" t="inlineStr"/>
      <c r="H28" s="10" t="inlineStr"/>
      <c r="I28" s="10" t="inlineStr"/>
      <c r="J28" s="10" t="inlineStr"/>
      <c r="K28" s="10" t="inlineStr"/>
      <c r="L28" s="10" t="inlineStr"/>
      <c r="M28" s="10" t="inlineStr"/>
    </row>
    <row r="29">
      <c r="A29" s="10" t="n">
        <v>2</v>
      </c>
      <c r="B29" s="10" t="inlineStr">
        <is>
          <t>EXCEL (.xlsx) IMPORT ONLY IMPORTS ONE NAME</t>
        </is>
      </c>
      <c r="C29" s="10" t="inlineStr">
        <is>
          <t>2.15</t>
        </is>
      </c>
      <c r="D29" s="10" t="inlineStr">
        <is>
          <t>After</t>
        </is>
      </c>
      <c r="E29" s="10" t="inlineStr">
        <is>
          <t>AFTER (expected)</t>
        </is>
      </c>
      <c r="F29" s="10" t="inlineStr">
        <is>
          <t>Duplicate row in the file -&gt; flagged "Same player as row N".</t>
        </is>
      </c>
      <c r="G29" s="10" t="inlineStr"/>
      <c r="H29" s="10" t="inlineStr"/>
      <c r="I29" s="10" t="inlineStr"/>
      <c r="J29" s="10" t="inlineStr"/>
      <c r="K29" s="10" t="inlineStr"/>
      <c r="L29" s="10" t="inlineStr"/>
      <c r="M29" s="10" t="inlineStr"/>
    </row>
    <row r="30">
      <c r="A30" s="10" t="n">
        <v>2</v>
      </c>
      <c r="B30" s="10" t="inlineStr">
        <is>
          <t>EXCEL (.xlsx) IMPORT ONLY IMPORTS ONE NAME</t>
        </is>
      </c>
      <c r="C30" s="10" t="inlineStr">
        <is>
          <t>2.16</t>
        </is>
      </c>
      <c r="D30" s="10" t="inlineStr">
        <is>
          <t>After</t>
        </is>
      </c>
      <c r="E30" s="10" t="inlineStr">
        <is>
          <t>AFTER (expected)</t>
        </is>
      </c>
      <c r="F30" s="10" t="inlineStr">
        <is>
          <t>PDF picked -&gt; friendly "could not read" message.</t>
        </is>
      </c>
      <c r="G30" s="10" t="inlineStr"/>
      <c r="H30" s="10" t="inlineStr"/>
      <c r="I30" s="10" t="inlineStr"/>
      <c r="J30" s="10" t="inlineStr"/>
      <c r="K30" s="10" t="inlineStr"/>
      <c r="L30" s="10" t="inlineStr"/>
      <c r="M30" s="10" t="inlineStr"/>
    </row>
    <row r="31">
      <c r="A31" s="10" t="n">
        <v>3</v>
      </c>
      <c r="B31" s="10" t="inlineStr">
        <is>
          <t>CSV / EXCEL IMPORT IS SLOW (20 NAMES)</t>
        </is>
      </c>
      <c r="C31" s="10" t="inlineStr">
        <is>
          <t>3.1</t>
        </is>
      </c>
      <c r="D31" s="10" t="inlineStr">
        <is>
          <t>Before</t>
        </is>
      </c>
      <c r="E31" s="10" t="inlineStr">
        <is>
          <t>BEFORE</t>
        </is>
      </c>
      <c r="F31" s="10" t="inlineStr">
        <is>
          <t>Import roster.csv (20 rows) into the EMPTY team on mobile data. Time from tapping Import to the summary screen. Expected (bug): slow (15-30s+).</t>
        </is>
      </c>
      <c r="G31" s="10" t="inlineStr"/>
      <c r="H31" s="10" t="inlineStr"/>
      <c r="I31" s="10" t="inlineStr"/>
      <c r="J31" s="10" t="inlineStr"/>
      <c r="K31" s="10" t="inlineStr"/>
      <c r="L31" s="10" t="inlineStr"/>
      <c r="M31" s="10" t="inlineStr"/>
    </row>
    <row r="32">
      <c r="A32" s="10" t="n">
        <v>3</v>
      </c>
      <c r="B32" s="10" t="inlineStr">
        <is>
          <t>CSV / EXCEL IMPORT IS SLOW (20 NAMES)</t>
        </is>
      </c>
      <c r="C32" s="10" t="inlineStr">
        <is>
          <t>3.2</t>
        </is>
      </c>
      <c r="D32" s="10" t="inlineStr">
        <is>
          <t>Before</t>
        </is>
      </c>
      <c r="E32" s="10" t="inlineStr">
        <is>
          <t>BEFORE</t>
        </is>
      </c>
      <c r="F32" s="10" t="inlineStr">
        <is>
          <t>Repeat with 5 rows and with 50 rows. Expected (bug): time grows with row count. Result: 5 rows s 50 rows s</t>
        </is>
      </c>
      <c r="G32" s="10" t="inlineStr"/>
      <c r="H32" s="10" t="inlineStr"/>
      <c r="I32" s="10" t="inlineStr"/>
      <c r="J32" s="10" t="inlineStr"/>
      <c r="K32" s="10" t="inlineStr"/>
      <c r="L32" s="10" t="inlineStr"/>
      <c r="M32" s="10" t="inlineStr"/>
    </row>
    <row r="33">
      <c r="A33" s="10" t="n">
        <v>3</v>
      </c>
      <c r="B33" s="10" t="inlineStr">
        <is>
          <t>CSV / EXCEL IMPORT IS SLOW (20 NAMES)</t>
        </is>
      </c>
      <c r="C33" s="10" t="inlineStr">
        <is>
          <t>3.3</t>
        </is>
      </c>
      <c r="D33" s="10" t="inlineStr">
        <is>
          <t>Before</t>
        </is>
      </c>
      <c r="E33" s="10" t="inlineStr">
        <is>
          <t>BEFORE</t>
        </is>
      </c>
      <c r="F33" s="10" t="inlineStr">
        <is>
          <t>Note DB counts afterwards: athletes created , team_roster .</t>
        </is>
      </c>
      <c r="G33" s="10" t="inlineStr"/>
      <c r="H33" s="10" t="inlineStr"/>
      <c r="I33" s="10" t="inlineStr"/>
      <c r="J33" s="10" t="inlineStr"/>
      <c r="K33" s="10" t="inlineStr"/>
      <c r="L33" s="10" t="inlineStr"/>
      <c r="M33" s="10" t="inlineStr"/>
    </row>
    <row r="34">
      <c r="A34" s="10" t="n">
        <v>3</v>
      </c>
      <c r="B34" s="10" t="inlineStr">
        <is>
          <t>CSV / EXCEL IMPORT IS SLOW (20 NAMES)</t>
        </is>
      </c>
      <c r="C34" s="10" t="inlineStr">
        <is>
          <t>3.4</t>
        </is>
      </c>
      <c r="D34" s="10" t="inlineStr">
        <is>
          <t>After</t>
        </is>
      </c>
      <c r="E34" s="10" t="inlineStr">
        <is>
          <t>AFTER (expected)</t>
        </is>
      </c>
      <c r="F34" s="10" t="inlineStr">
        <is>
          <t>20 rows into empty team: at least ~3x faster than 3.1. s</t>
        </is>
      </c>
      <c r="G34" s="10" t="inlineStr"/>
      <c r="H34" s="10" t="inlineStr"/>
      <c r="I34" s="10" t="inlineStr"/>
      <c r="J34" s="10" t="inlineStr"/>
      <c r="K34" s="10" t="inlineStr"/>
      <c r="L34" s="10" t="inlineStr"/>
      <c r="M34" s="10" t="inlineStr"/>
    </row>
    <row r="35">
      <c r="A35" s="10" t="n">
        <v>3</v>
      </c>
      <c r="B35" s="10" t="inlineStr">
        <is>
          <t>CSV / EXCEL IMPORT IS SLOW (20 NAMES)</t>
        </is>
      </c>
      <c r="C35" s="10" t="inlineStr">
        <is>
          <t>3.5</t>
        </is>
      </c>
      <c r="D35" s="10" t="inlineStr">
        <is>
          <t>After</t>
        </is>
      </c>
      <c r="E35" s="10" t="inlineStr">
        <is>
          <t>AFTER (expected)</t>
        </is>
      </c>
      <c r="F35" s="10" t="inlineStr">
        <is>
          <t>5 / 50 rows: time barely grows.</t>
        </is>
      </c>
      <c r="G35" s="10" t="inlineStr"/>
      <c r="H35" s="10" t="inlineStr"/>
      <c r="I35" s="10" t="inlineStr"/>
      <c r="J35" s="10" t="inlineStr"/>
      <c r="K35" s="10" t="inlineStr"/>
      <c r="L35" s="10" t="inlineStr"/>
      <c r="M35" s="10" t="inlineStr"/>
    </row>
    <row r="36">
      <c r="A36" s="10" t="n">
        <v>3</v>
      </c>
      <c r="B36" s="10" t="inlineStr">
        <is>
          <t>CSV / EXCEL IMPORT IS SLOW (20 NAMES)</t>
        </is>
      </c>
      <c r="C36" s="10" t="inlineStr">
        <is>
          <t>3.6</t>
        </is>
      </c>
      <c r="D36" s="10" t="inlineStr">
        <is>
          <t>After</t>
        </is>
      </c>
      <c r="E36" s="10" t="inlineStr">
        <is>
          <t>AFTER (expected)</t>
        </is>
      </c>
      <c r="F36" s="10" t="inlineStr">
        <is>
          <t>Progress text "Adding X of 20..." moves and finishes; summary says "20 players added".</t>
        </is>
      </c>
      <c r="G36" s="10" t="inlineStr"/>
      <c r="H36" s="10" t="inlineStr"/>
      <c r="I36" s="10" t="inlineStr"/>
      <c r="J36" s="10" t="inlineStr"/>
      <c r="K36" s="10" t="inlineStr"/>
      <c r="L36" s="10" t="inlineStr"/>
      <c r="M36" s="10" t="inlineStr"/>
    </row>
    <row r="37">
      <c r="A37" s="10" t="n">
        <v>3</v>
      </c>
      <c r="B37" s="10" t="inlineStr">
        <is>
          <t>CSV / EXCEL IMPORT IS SLOW (20 NAMES)</t>
        </is>
      </c>
      <c r="C37" s="10" t="inlineStr">
        <is>
          <t>3.7</t>
        </is>
      </c>
      <c r="D37" s="10" t="inlineStr">
        <is>
          <t>After</t>
        </is>
      </c>
      <c r="E37" s="10" t="inlineStr">
        <is>
          <t>AFTER (expected)</t>
        </is>
      </c>
      <c r="F37" s="10" t="inlineStr">
        <is>
          <t>DB counts identical to BEFORE: 20 athletes, 20 team_roster rows, correct jersey + position + year of birth.</t>
        </is>
      </c>
      <c r="G37" s="10" t="inlineStr"/>
      <c r="H37" s="10" t="inlineStr"/>
      <c r="I37" s="10" t="inlineStr"/>
      <c r="J37" s="10" t="inlineStr"/>
      <c r="K37" s="10" t="inlineStr"/>
      <c r="L37" s="10" t="inlineStr"/>
      <c r="M37" s="10" t="inlineStr"/>
    </row>
    <row r="38">
      <c r="A38" s="10" t="n">
        <v>3</v>
      </c>
      <c r="B38" s="10" t="inlineStr">
        <is>
          <t>CSV / EXCEL IMPORT IS SLOW (20 NAMES)</t>
        </is>
      </c>
      <c r="C38" s="10" t="inlineStr">
        <is>
          <t>3.8</t>
        </is>
      </c>
      <c r="D38" s="10" t="inlineStr">
        <is>
          <t>After</t>
        </is>
      </c>
      <c r="E38" s="10" t="inlineStr">
        <is>
          <t>AFTER (expected)</t>
        </is>
      </c>
      <c r="F38" s="10" t="inlineStr">
        <is>
          <t>Sibling rows (same guardian email) -&gt; both imported, both linked to the same guardian account, only ONE guardian invite email.</t>
        </is>
      </c>
      <c r="G38" s="10" t="inlineStr"/>
      <c r="H38" s="10" t="inlineStr"/>
      <c r="I38" s="10" t="inlineStr"/>
      <c r="J38" s="10" t="inlineStr"/>
      <c r="K38" s="10" t="inlineStr"/>
      <c r="L38" s="10" t="inlineStr"/>
      <c r="M38" s="10" t="inlineStr"/>
    </row>
    <row r="39">
      <c r="A39" s="10" t="n">
        <v>3</v>
      </c>
      <c r="B39" s="10" t="inlineStr">
        <is>
          <t>CSV / EXCEL IMPORT IS SLOW (20 NAMES)</t>
        </is>
      </c>
      <c r="C39" s="10" t="inlineStr">
        <is>
          <t>3.9</t>
        </is>
      </c>
      <c r="D39" s="10" t="inlineStr">
        <is>
          <t>After</t>
        </is>
      </c>
      <c r="E39" s="10" t="inlineStr">
        <is>
          <t>AFTER (expected)</t>
        </is>
      </c>
      <c r="F39" s="10" t="inlineStr">
        <is>
          <t>Row with a bad value -&gt; that row is reported, the other 19 still land (summary lists the failed row + reason).</t>
        </is>
      </c>
      <c r="G39" s="10" t="inlineStr"/>
      <c r="H39" s="10" t="inlineStr"/>
      <c r="I39" s="10" t="inlineStr"/>
      <c r="J39" s="10" t="inlineStr"/>
      <c r="K39" s="10" t="inlineStr"/>
      <c r="L39" s="10" t="inlineStr"/>
      <c r="M39" s="10" t="inlineStr"/>
    </row>
    <row r="40">
      <c r="A40" s="10" t="n">
        <v>3</v>
      </c>
      <c r="B40" s="10" t="inlineStr">
        <is>
          <t>CSV / EXCEL IMPORT IS SLOW (20 NAMES)</t>
        </is>
      </c>
      <c r="C40" s="10" t="inlineStr">
        <is>
          <t>3.10</t>
        </is>
      </c>
      <c r="D40" s="10" t="inlineStr">
        <is>
          <t>After</t>
        </is>
      </c>
      <c r="E40" s="10" t="inlineStr">
        <is>
          <t>AFTER (expected)</t>
        </is>
      </c>
      <c r="F40" s="10" t="inlineStr">
        <is>
          <t>Airplane mode halfway -&gt; clear failure; nothing half-hidden; re-import works after reconnect.</t>
        </is>
      </c>
      <c r="G40" s="10" t="inlineStr"/>
      <c r="H40" s="10" t="inlineStr"/>
      <c r="I40" s="10" t="inlineStr"/>
      <c r="J40" s="10" t="inlineStr"/>
      <c r="K40" s="10" t="inlineStr"/>
      <c r="L40" s="10" t="inlineStr"/>
      <c r="M40" s="10" t="inlineStr"/>
    </row>
    <row r="41">
      <c r="A41" s="10" t="n">
        <v>3</v>
      </c>
      <c r="B41" s="10" t="inlineStr">
        <is>
          <t>CSV / EXCEL IMPORT IS SLOW (20 NAMES)</t>
        </is>
      </c>
      <c r="C41" s="10" t="inlineStr">
        <is>
          <t>3.11</t>
        </is>
      </c>
      <c r="D41" s="10" t="inlineStr">
        <is>
          <t>After</t>
        </is>
      </c>
      <c r="E41" s="10" t="inlineStr">
        <is>
          <t>AFTER (expected)</t>
        </is>
      </c>
      <c r="F41" s="10" t="inlineStr">
        <is>
          <t>Import the same file twice -&gt; second import handled (no crash); note whether duplicates are created (same as before).</t>
        </is>
      </c>
      <c r="G41" s="10" t="inlineStr"/>
      <c r="H41" s="10" t="inlineStr"/>
      <c r="I41" s="10" t="inlineStr"/>
      <c r="J41" s="10" t="inlineStr"/>
      <c r="K41" s="10" t="inlineStr"/>
      <c r="L41" s="10" t="inlineStr"/>
      <c r="M41" s="10" t="inlineStr"/>
    </row>
    <row r="42">
      <c r="A42" s="10" t="n">
        <v>3</v>
      </c>
      <c r="B42" s="10" t="inlineStr">
        <is>
          <t>CSV / EXCEL IMPORT IS SLOW (20 NAMES)</t>
        </is>
      </c>
      <c r="C42" s="10" t="inlineStr">
        <is>
          <t>3.12</t>
        </is>
      </c>
      <c r="D42" s="10" t="inlineStr">
        <is>
          <t>After</t>
        </is>
      </c>
      <c r="E42" s="10" t="inlineStr">
        <is>
          <t>AFTER (expected)</t>
        </is>
      </c>
      <c r="F42" s="10" t="inlineStr">
        <is>
          <t>Portal invites are still sent for the imported players once, and NOT re-sent to players already on the roster.</t>
        </is>
      </c>
      <c r="G42" s="10" t="inlineStr"/>
      <c r="H42" s="10" t="inlineStr"/>
      <c r="I42" s="10" t="inlineStr"/>
      <c r="J42" s="10" t="inlineStr"/>
      <c r="K42" s="10" t="inlineStr"/>
      <c r="L42" s="10" t="inlineStr"/>
      <c r="M42" s="10" t="inlineStr"/>
    </row>
    <row r="43">
      <c r="A43" s="10" t="n">
        <v>3</v>
      </c>
      <c r="B43" s="10" t="inlineStr">
        <is>
          <t>CSV / EXCEL IMPORT IS SLOW (20 NAMES)</t>
        </is>
      </c>
      <c r="C43" s="10" t="inlineStr">
        <is>
          <t>3.13</t>
        </is>
      </c>
      <c r="D43" s="10" t="inlineStr">
        <is>
          <t>After</t>
        </is>
      </c>
      <c r="E43" s="10" t="inlineStr">
        <is>
          <t>AFTER (expected)</t>
        </is>
      </c>
      <c r="F43" s="10" t="inlineStr">
        <is>
          <t>Delegated club manager importing into the club's team -&gt; still works (uses the slower per-row path; athletes visible to the club owner).</t>
        </is>
      </c>
      <c r="G43" s="10" t="inlineStr"/>
      <c r="H43" s="10" t="inlineStr"/>
      <c r="I43" s="10" t="inlineStr"/>
      <c r="J43" s="10" t="inlineStr"/>
      <c r="K43" s="10" t="inlineStr"/>
      <c r="L43" s="10" t="inlineStr"/>
      <c r="M43" s="10" t="inlineStr"/>
    </row>
    <row r="44">
      <c r="A44" s="10" t="n">
        <v>3</v>
      </c>
      <c r="B44" s="10" t="inlineStr">
        <is>
          <t>CSV / EXCEL IMPORT IS SLOW (20 NAMES)</t>
        </is>
      </c>
      <c r="C44" s="10" t="inlineStr">
        <is>
          <t>3.14</t>
        </is>
      </c>
      <c r="D44" s="10" t="inlineStr">
        <is>
          <t>After</t>
        </is>
      </c>
      <c r="E44" s="10" t="inlineStr">
        <is>
          <t>AFTER (expected)</t>
        </is>
      </c>
      <c r="F44" s="10" t="inlineStr">
        <is>
          <t>Free account near the player limit -&gt; limit message still shown (add-players limit behaviour unchanged).</t>
        </is>
      </c>
      <c r="G44" s="10" t="inlineStr"/>
      <c r="H44" s="10" t="inlineStr"/>
      <c r="I44" s="10" t="inlineStr"/>
      <c r="J44" s="10" t="inlineStr"/>
      <c r="K44" s="10" t="inlineStr"/>
      <c r="L44" s="10" t="inlineStr"/>
      <c r="M44" s="10" t="inlineStr"/>
    </row>
    <row r="45">
      <c r="A45" s="10" t="n">
        <v>3</v>
      </c>
      <c r="B45" s="10" t="inlineStr">
        <is>
          <t>CSV / EXCEL IMPORT IS SLOW (20 NAMES)</t>
        </is>
      </c>
      <c r="C45" s="10" t="inlineStr">
        <is>
          <t>3.15</t>
        </is>
      </c>
      <c r="D45" s="10" t="inlineStr">
        <is>
          <t>After</t>
        </is>
      </c>
      <c r="E45" s="10" t="inlineStr">
        <is>
          <t>AFTER (expected)</t>
        </is>
      </c>
      <c r="F45" s="10" t="inlineStr">
        <is>
          <t>Evaluation roster import (not the team) -&gt; still works, same speed as before (NOT changed), and Excel fix from section 2 applies.</t>
        </is>
      </c>
      <c r="G45" s="10" t="inlineStr"/>
      <c r="H45" s="10" t="inlineStr"/>
      <c r="I45" s="10" t="inlineStr"/>
      <c r="J45" s="10" t="inlineStr"/>
      <c r="K45" s="10" t="inlineStr"/>
      <c r="L45" s="10" t="inlineStr"/>
      <c r="M45" s="10" t="inlineStr"/>
    </row>
    <row r="46">
      <c r="A46" s="10" t="n">
        <v>4</v>
      </c>
      <c r="B46" s="10" t="inlineStr">
        <is>
          <t>REGISTRATIONS: SELECT MULTIPLE, "ADD" ONLY SENDS ONE PLAYER (HIGH)</t>
        </is>
      </c>
      <c r="C46" s="10" t="inlineStr">
        <is>
          <t>4.1</t>
        </is>
      </c>
      <c r="D46" s="10" t="inlineStr">
        <is>
          <t>Before</t>
        </is>
      </c>
      <c r="E46" s="10" t="inlineStr">
        <is>
          <t>BEFORE</t>
        </is>
      </c>
      <c r="F46" s="10" t="inlineStr">
        <is>
          <t>Pending tab. Tap "Select" on 2 players (scroll down between). Expected (bug): every card still says "Add to Roster"; no bar at the bottom; only the header button (far up) knows about the selection. (seen in simulator)</t>
        </is>
      </c>
      <c r="G46" s="10" t="inlineStr"/>
      <c r="H46" s="10" t="inlineStr"/>
      <c r="I46" s="10" t="inlineStr"/>
      <c r="J46" s="10" t="inlineStr"/>
      <c r="K46" s="10" t="inlineStr"/>
      <c r="L46" s="10" t="inlineStr"/>
      <c r="M46" s="10" t="inlineStr"/>
    </row>
    <row r="47">
      <c r="A47" s="10" t="n">
        <v>4</v>
      </c>
      <c r="B47" s="10" t="inlineStr">
        <is>
          <t>REGISTRATIONS: SELECT MULTIPLE, "ADD" ONLY SENDS ONE PLAYER (HIGH)</t>
        </is>
      </c>
      <c r="C47" s="10" t="inlineStr">
        <is>
          <t>4.2</t>
        </is>
      </c>
      <c r="D47" s="10" t="inlineStr">
        <is>
          <t>Before</t>
        </is>
      </c>
      <c r="E47" s="10" t="inlineStr">
        <is>
          <t>BEFORE</t>
        </is>
      </c>
      <c r="F47" s="10" t="inlineStr">
        <is>
          <t>Tap "Add to Roster" on one of the selected cards, pick a team. Expected (bug): only that ONE player is added.</t>
        </is>
      </c>
      <c r="G47" s="10" t="inlineStr"/>
      <c r="H47" s="10" t="inlineStr"/>
      <c r="I47" s="10" t="inlineStr"/>
      <c r="J47" s="10" t="inlineStr"/>
      <c r="K47" s="10" t="inlineStr"/>
      <c r="L47" s="10" t="inlineStr"/>
      <c r="M47" s="10" t="inlineStr"/>
    </row>
    <row r="48">
      <c r="A48" s="10" t="n">
        <v>4</v>
      </c>
      <c r="B48" s="10" t="inlineStr">
        <is>
          <t>REGISTRATIONS: SELECT MULTIPLE, "ADD" ONLY SENDS ONE PLAYER (HIGH)</t>
        </is>
      </c>
      <c r="C48" s="10" t="inlineStr">
        <is>
          <t>4.3</t>
        </is>
      </c>
      <c r="D48" s="10" t="inlineStr">
        <is>
          <t>After</t>
        </is>
      </c>
      <c r="E48" s="10" t="inlineStr">
        <is>
          <t>AFTER (expected)</t>
        </is>
      </c>
      <c r="F48" s="10" t="inlineStr">
        <is>
          <t>Tick 2 players. Ticked cards read "Add 2 to Roster"; unticked cards still read "Add to Roster". A bar at the bottom shows "2 selected [Clear] [Add 2 to Roster]" and stays visible while scrolling.</t>
        </is>
      </c>
      <c r="G48" s="10" t="inlineStr">
        <is>
          <t>Yes</t>
        </is>
      </c>
      <c r="H48" s="10" t="inlineStr"/>
      <c r="I48" s="10" t="inlineStr"/>
      <c r="J48" s="10" t="inlineStr"/>
      <c r="K48" s="10" t="inlineStr"/>
      <c r="L48" s="10" t="inlineStr"/>
      <c r="M48" s="10" t="inlineStr"/>
    </row>
    <row r="49">
      <c r="A49" s="10" t="n">
        <v>4</v>
      </c>
      <c r="B49" s="10" t="inlineStr">
        <is>
          <t>REGISTRATIONS: SELECT MULTIPLE, "ADD" ONLY SENDS ONE PLAYER (HIGH)</t>
        </is>
      </c>
      <c r="C49" s="10" t="inlineStr">
        <is>
          <t>4.4</t>
        </is>
      </c>
      <c r="D49" s="10" t="inlineStr">
        <is>
          <t>After</t>
        </is>
      </c>
      <c r="E49" s="10" t="inlineStr">
        <is>
          <t>AFTER (expected)</t>
        </is>
      </c>
      <c r="F49" s="10" t="inlineStr">
        <is>
          <t>Tap the card's "Add 2 to Roster" -&gt; dialog title "Add 2 Players".</t>
        </is>
      </c>
      <c r="G49" s="10" t="inlineStr">
        <is>
          <t>Yes</t>
        </is>
      </c>
      <c r="H49" s="10" t="inlineStr"/>
      <c r="I49" s="10" t="inlineStr"/>
      <c r="J49" s="10" t="inlineStr"/>
      <c r="K49" s="10" t="inlineStr"/>
      <c r="L49" s="10" t="inlineStr"/>
      <c r="M49" s="10" t="inlineStr"/>
    </row>
    <row r="50">
      <c r="A50" s="10" t="n">
        <v>4</v>
      </c>
      <c r="B50" s="10" t="inlineStr">
        <is>
          <t>REGISTRATIONS: SELECT MULTIPLE, "ADD" ONLY SENDS ONE PLAYER (HIGH)</t>
        </is>
      </c>
      <c r="C50" s="10" t="inlineStr">
        <is>
          <t>4.5</t>
        </is>
      </c>
      <c r="D50" s="10" t="inlineStr">
        <is>
          <t>After</t>
        </is>
      </c>
      <c r="E50" s="10" t="inlineStr">
        <is>
          <t>AFTER (expected)</t>
        </is>
      </c>
      <c r="F50" s="10" t="inlineStr">
        <is>
          <t>Confirm to a TEAM: both players appear on the team roster; team Players badge +2 without a manual refresh.</t>
        </is>
      </c>
      <c r="G50" s="10" t="inlineStr"/>
      <c r="H50" s="10" t="inlineStr"/>
      <c r="I50" s="10" t="inlineStr"/>
      <c r="J50" s="10" t="inlineStr"/>
      <c r="K50" s="10" t="inlineStr"/>
      <c r="L50" s="10" t="inlineStr"/>
      <c r="M50" s="10" t="inlineStr"/>
    </row>
    <row r="51">
      <c r="A51" s="10" t="n">
        <v>4</v>
      </c>
      <c r="B51" s="10" t="inlineStr">
        <is>
          <t>REGISTRATIONS: SELECT MULTIPLE, "ADD" ONLY SENDS ONE PLAYER (HIGH)</t>
        </is>
      </c>
      <c r="C51" s="10" t="inlineStr">
        <is>
          <t>4.6</t>
        </is>
      </c>
      <c r="D51" s="10" t="inlineStr">
        <is>
          <t>After</t>
        </is>
      </c>
      <c r="E51" s="10" t="inlineStr">
        <is>
          <t>AFTER (expected)</t>
        </is>
      </c>
      <c r="F51" s="10" t="inlineStr">
        <is>
          <t>Confirm to an EVALUATION: both appear on that roster.</t>
        </is>
      </c>
      <c r="G51" s="10" t="inlineStr"/>
      <c r="H51" s="10" t="inlineStr"/>
      <c r="I51" s="10" t="inlineStr"/>
      <c r="J51" s="10" t="inlineStr"/>
      <c r="K51" s="10" t="inlineStr"/>
      <c r="L51" s="10" t="inlineStr"/>
      <c r="M51" s="10" t="inlineStr"/>
    </row>
    <row r="52">
      <c r="A52" s="10" t="n">
        <v>4</v>
      </c>
      <c r="B52" s="10" t="inlineStr">
        <is>
          <t>REGISTRATIONS: SELECT MULTIPLE, "ADD" ONLY SENDS ONE PLAYER (HIGH)</t>
        </is>
      </c>
      <c r="C52" s="10" t="inlineStr">
        <is>
          <t>4.7</t>
        </is>
      </c>
      <c r="D52" s="10" t="inlineStr">
        <is>
          <t>After</t>
        </is>
      </c>
      <c r="E52" s="10" t="inlineStr">
        <is>
          <t>AFTER (expected)</t>
        </is>
      </c>
      <c r="F52" s="10" t="inlineStr">
        <is>
          <t>Select All (25) -&gt; add to Team: all 25 land; progress bar reaches 25 of 25; DB team_roster count +25.</t>
        </is>
      </c>
      <c r="G52" s="10" t="inlineStr"/>
      <c r="H52" s="10" t="inlineStr"/>
      <c r="I52" s="10" t="inlineStr"/>
      <c r="J52" s="10" t="inlineStr"/>
      <c r="K52" s="10" t="inlineStr"/>
      <c r="L52" s="10" t="inlineStr"/>
      <c r="M52" s="10" t="inlineStr"/>
    </row>
    <row r="53">
      <c r="A53" s="10" t="n">
        <v>4</v>
      </c>
      <c r="B53" s="10" t="inlineStr">
        <is>
          <t>REGISTRATIONS: SELECT MULTIPLE, "ADD" ONLY SENDS ONE PLAYER (HIGH)</t>
        </is>
      </c>
      <c r="C53" s="10" t="inlineStr">
        <is>
          <t>4.8</t>
        </is>
      </c>
      <c r="D53" s="10" t="inlineStr">
        <is>
          <t>After</t>
        </is>
      </c>
      <c r="E53" s="10" t="inlineStr">
        <is>
          <t>AFTER (expected)</t>
        </is>
      </c>
      <c r="F53" s="10" t="inlineStr">
        <is>
          <t>Same with destination Evaluation: +25.</t>
        </is>
      </c>
      <c r="G53" s="10" t="inlineStr"/>
      <c r="H53" s="10" t="inlineStr"/>
      <c r="I53" s="10" t="inlineStr"/>
      <c r="J53" s="10" t="inlineStr"/>
      <c r="K53" s="10" t="inlineStr"/>
      <c r="L53" s="10" t="inlineStr"/>
      <c r="M53" s="10" t="inlineStr"/>
    </row>
    <row r="54">
      <c r="A54" s="10" t="n">
        <v>4</v>
      </c>
      <c r="B54" s="10" t="inlineStr">
        <is>
          <t>REGISTRATIONS: SELECT MULTIPLE, "ADD" ONLY SENDS ONE PLAYER (HIGH)</t>
        </is>
      </c>
      <c r="C54" s="10" t="inlineStr">
        <is>
          <t>4.9</t>
        </is>
      </c>
      <c r="D54" s="10" t="inlineStr">
        <is>
          <t>After</t>
        </is>
      </c>
      <c r="E54" s="10" t="inlineStr">
        <is>
          <t>AFTER (expected)</t>
        </is>
      </c>
      <c r="F54" s="10" t="inlineStr">
        <is>
          <t>Two siblings (same guardian email) ticked -&gt; both added.</t>
        </is>
      </c>
      <c r="G54" s="10" t="inlineStr"/>
      <c r="H54" s="10" t="inlineStr"/>
      <c r="I54" s="10" t="inlineStr"/>
      <c r="J54" s="10" t="inlineStr"/>
      <c r="K54" s="10" t="inlineStr"/>
      <c r="L54" s="10" t="inlineStr"/>
      <c r="M54" s="10" t="inlineStr"/>
    </row>
    <row r="55">
      <c r="A55" s="10" t="n">
        <v>4</v>
      </c>
      <c r="B55" s="10" t="inlineStr">
        <is>
          <t>REGISTRATIONS: SELECT MULTIPLE, "ADD" ONLY SENDS ONE PLAYER (HIGH)</t>
        </is>
      </c>
      <c r="C55" s="10" t="inlineStr">
        <is>
          <t>4.10</t>
        </is>
      </c>
      <c r="D55" s="10" t="inlineStr">
        <is>
          <t>After</t>
        </is>
      </c>
      <c r="E55" s="10" t="inlineStr">
        <is>
          <t>AFTER (expected)</t>
        </is>
      </c>
      <c r="F55" s="10" t="inlineStr">
        <is>
          <t>Tick a player, DISMISS them, then add: count and result exclude the dismissed player.</t>
        </is>
      </c>
      <c r="G55" s="10" t="inlineStr"/>
      <c r="H55" s="10" t="inlineStr"/>
      <c r="I55" s="10" t="inlineStr"/>
      <c r="J55" s="10" t="inlineStr"/>
      <c r="K55" s="10" t="inlineStr"/>
      <c r="L55" s="10" t="inlineStr"/>
      <c r="M55" s="10" t="inlineStr"/>
    </row>
    <row r="56">
      <c r="A56" s="10" t="n">
        <v>4</v>
      </c>
      <c r="B56" s="10" t="inlineStr">
        <is>
          <t>REGISTRATIONS: SELECT MULTIPLE, "ADD" ONLY SENDS ONE PLAYER (HIGH)</t>
        </is>
      </c>
      <c r="C56" s="10" t="inlineStr">
        <is>
          <t>4.11</t>
        </is>
      </c>
      <c r="D56" s="10" t="inlineStr">
        <is>
          <t>After</t>
        </is>
      </c>
      <c r="E56" s="10" t="inlineStr">
        <is>
          <t>AFTER (expected)</t>
        </is>
      </c>
      <c r="F56" s="10" t="inlineStr">
        <is>
          <t>Tap "Add to Roster" on an UNTICKED card while others are ticked -&gt; adds only that one player (explicit choice).</t>
        </is>
      </c>
      <c r="G56" s="10" t="inlineStr"/>
      <c r="H56" s="10" t="inlineStr"/>
      <c r="I56" s="10" t="inlineStr"/>
      <c r="J56" s="10" t="inlineStr"/>
      <c r="K56" s="10" t="inlineStr"/>
      <c r="L56" s="10" t="inlineStr"/>
      <c r="M56" s="10" t="inlineStr"/>
    </row>
    <row r="57">
      <c r="A57" s="10" t="n">
        <v>4</v>
      </c>
      <c r="B57" s="10" t="inlineStr">
        <is>
          <t>REGISTRATIONS: SELECT MULTIPLE, "ADD" ONLY SENDS ONE PLAYER (HIGH)</t>
        </is>
      </c>
      <c r="C57" s="10" t="inlineStr">
        <is>
          <t>4.12</t>
        </is>
      </c>
      <c r="D57" s="10" t="inlineStr">
        <is>
          <t>After</t>
        </is>
      </c>
      <c r="E57" s="10" t="inlineStr">
        <is>
          <t>AFTER (expected)</t>
        </is>
      </c>
      <c r="F57" s="10" t="inlineStr">
        <is>
          <t>Single player, no selection: "Add to Roster" works as before.</t>
        </is>
      </c>
      <c r="G57" s="10" t="inlineStr"/>
      <c r="H57" s="10" t="inlineStr"/>
      <c r="I57" s="10" t="inlineStr"/>
      <c r="J57" s="10" t="inlineStr"/>
      <c r="K57" s="10" t="inlineStr"/>
      <c r="L57" s="10" t="inlineStr"/>
      <c r="M57" s="10" t="inlineStr"/>
    </row>
    <row r="58">
      <c r="A58" s="10" t="n">
        <v>4</v>
      </c>
      <c r="B58" s="10" t="inlineStr">
        <is>
          <t>REGISTRATIONS: SELECT MULTIPLE, "ADD" ONLY SENDS ONE PLAYER (HIGH)</t>
        </is>
      </c>
      <c r="C58" s="10" t="inlineStr">
        <is>
          <t>4.13</t>
        </is>
      </c>
      <c r="D58" s="10" t="inlineStr">
        <is>
          <t>After</t>
        </is>
      </c>
      <c r="E58" s="10" t="inlineStr">
        <is>
          <t>AFTER (expected)</t>
        </is>
      </c>
      <c r="F58" s="10" t="inlineStr">
        <is>
          <t>Registration profile popup &gt; "Add to Roster" -&gt; adds that one.</t>
        </is>
      </c>
      <c r="G58" s="10" t="inlineStr"/>
      <c r="H58" s="10" t="inlineStr"/>
      <c r="I58" s="10" t="inlineStr"/>
      <c r="J58" s="10" t="inlineStr"/>
      <c r="K58" s="10" t="inlineStr"/>
      <c r="L58" s="10" t="inlineStr"/>
      <c r="M58" s="10" t="inlineStr"/>
    </row>
    <row r="59">
      <c r="A59" s="10" t="n">
        <v>4</v>
      </c>
      <c r="B59" s="10" t="inlineStr">
        <is>
          <t>REGISTRATIONS: SELECT MULTIPLE, "ADD" ONLY SENDS ONE PLAYER (HIGH)</t>
        </is>
      </c>
      <c r="C59" s="10" t="inlineStr">
        <is>
          <t>4.14</t>
        </is>
      </c>
      <c r="D59" s="10" t="inlineStr">
        <is>
          <t>After</t>
        </is>
      </c>
      <c r="E59" s="10" t="inlineStr">
        <is>
          <t>AFTER (expected)</t>
        </is>
      </c>
      <c r="F59" s="10" t="inlineStr">
        <is>
          <t>Free-plan player limit: adding past the limit shows the limit message; nothing partially added.</t>
        </is>
      </c>
      <c r="G59" s="10" t="inlineStr"/>
      <c r="H59" s="10" t="inlineStr"/>
      <c r="I59" s="10" t="inlineStr"/>
      <c r="J59" s="10" t="inlineStr"/>
      <c r="K59" s="10" t="inlineStr"/>
      <c r="L59" s="10" t="inlineStr"/>
      <c r="M59" s="10" t="inlineStr"/>
    </row>
    <row r="60">
      <c r="A60" s="10" t="n">
        <v>4</v>
      </c>
      <c r="B60" s="10" t="inlineStr">
        <is>
          <t>REGISTRATIONS: SELECT MULTIPLE, "ADD" ONLY SENDS ONE PLAYER (HIGH)</t>
        </is>
      </c>
      <c r="C60" s="10" t="inlineStr">
        <is>
          <t>4.15</t>
        </is>
      </c>
      <c r="D60" s="10" t="inlineStr">
        <is>
          <t>After</t>
        </is>
      </c>
      <c r="E60" s="10" t="inlineStr">
        <is>
          <t>AFTER (expected)</t>
        </is>
      </c>
      <c r="F60" s="10" t="inlineStr">
        <is>
          <t>"Clear" empties the selection and hides the bar.</t>
        </is>
      </c>
      <c r="G60" s="10" t="inlineStr"/>
      <c r="H60" s="10" t="inlineStr"/>
      <c r="I60" s="10" t="inlineStr"/>
      <c r="J60" s="10" t="inlineStr"/>
      <c r="K60" s="10" t="inlineStr"/>
      <c r="L60" s="10" t="inlineStr"/>
      <c r="M60" s="10" t="inlineStr"/>
    </row>
    <row r="61">
      <c r="A61" s="10" t="n">
        <v>4</v>
      </c>
      <c r="B61" s="10" t="inlineStr">
        <is>
          <t>REGISTRATIONS: SELECT MULTIPLE, "ADD" ONLY SENDS ONE PLAYER (HIGH)</t>
        </is>
      </c>
      <c r="C61" s="10" t="inlineStr">
        <is>
          <t>4.16</t>
        </is>
      </c>
      <c r="D61" s="10" t="inlineStr">
        <is>
          <t>After</t>
        </is>
      </c>
      <c r="E61" s="10" t="inlineStr">
        <is>
          <t>AFTER (expected)</t>
        </is>
      </c>
      <c r="F61" s="10" t="inlineStr">
        <is>
          <t>Switch to the "All" / "Dismissed" tab -&gt; bar is hidden.</t>
        </is>
      </c>
      <c r="G61" s="10" t="inlineStr"/>
      <c r="H61" s="10" t="inlineStr"/>
      <c r="I61" s="10" t="inlineStr"/>
      <c r="J61" s="10" t="inlineStr"/>
      <c r="K61" s="10" t="inlineStr"/>
      <c r="L61" s="10" t="inlineStr"/>
      <c r="M61" s="10" t="inlineStr"/>
    </row>
    <row r="62">
      <c r="A62" s="10" t="n">
        <v>4</v>
      </c>
      <c r="B62" s="10" t="inlineStr">
        <is>
          <t>REGISTRATIONS: SELECT MULTIPLE, "ADD" ONLY SENDS ONE PLAYER (HIGH)</t>
        </is>
      </c>
      <c r="C62" s="10" t="inlineStr">
        <is>
          <t>4.17</t>
        </is>
      </c>
      <c r="D62" s="10" t="inlineStr">
        <is>
          <t>After</t>
        </is>
      </c>
      <c r="E62" s="10" t="inlineStr">
        <is>
          <t>AFTER (expected)</t>
        </is>
      </c>
      <c r="F62" s="10" t="inlineStr">
        <is>
          <t>Registrations screen on Android 3-button nav: bar not covered by the tab bar / nav bar.</t>
        </is>
      </c>
      <c r="G62" s="10" t="inlineStr"/>
      <c r="H62" s="10" t="inlineStr"/>
      <c r="I62" s="10" t="inlineStr"/>
      <c r="J62" s="10" t="inlineStr"/>
      <c r="K62" s="10" t="inlineStr"/>
      <c r="L62" s="10" t="inlineStr"/>
      <c r="M62" s="10" t="inlineStr"/>
    </row>
    <row r="63">
      <c r="A63" s="10" t="n">
        <v>4</v>
      </c>
      <c r="B63" s="10" t="inlineStr">
        <is>
          <t>REGISTRATIONS: SELECT MULTIPLE, "ADD" ONLY SENDS ONE PLAYER (HIGH)</t>
        </is>
      </c>
      <c r="C63" s="10" t="inlineStr">
        <is>
          <t>4.18</t>
        </is>
      </c>
      <c r="D63" s="10" t="inlineStr">
        <is>
          <t>After</t>
        </is>
      </c>
      <c r="E63" s="10" t="inlineStr">
        <is>
          <t>AFTER (expected)</t>
        </is>
      </c>
      <c r="F63" s="10" t="inlineStr">
        <is>
          <t>After adding, each placed registration moves out of Pending and the Pending badge count drops by the right number.</t>
        </is>
      </c>
      <c r="G63" s="10" t="inlineStr"/>
      <c r="H63" s="10" t="inlineStr"/>
      <c r="I63" s="10" t="inlineStr"/>
      <c r="J63" s="10" t="inlineStr"/>
      <c r="K63" s="10" t="inlineStr"/>
      <c r="L63" s="10" t="inlineStr"/>
      <c r="M63" s="10" t="inlineStr"/>
    </row>
    <row r="64">
      <c r="A64" s="10" t="n">
        <v>5</v>
      </c>
      <c r="B64" s="10" t="inlineStr">
        <is>
          <t>SELECT ALL PLAYERS ON A ROSTER AND DELETE (HIGH)</t>
        </is>
      </c>
      <c r="C64" s="10" t="inlineStr">
        <is>
          <t>5.1</t>
        </is>
      </c>
      <c r="D64" s="10" t="inlineStr">
        <is>
          <t>Before</t>
        </is>
      </c>
      <c r="E64" s="10" t="inlineStr">
        <is>
          <t>BEFORE</t>
        </is>
      </c>
      <c r="F64" s="10" t="inlineStr">
        <is>
          <t>Open a team with 25+ players. Look for Select / Select All. Expected (bug): not available; Remove one at a time only.</t>
        </is>
      </c>
      <c r="G64" s="10" t="inlineStr"/>
      <c r="H64" s="10" t="inlineStr"/>
      <c r="I64" s="10" t="inlineStr"/>
      <c r="J64" s="10" t="inlineStr"/>
      <c r="K64" s="10" t="inlineStr"/>
      <c r="L64" s="10" t="inlineStr"/>
      <c r="M64" s="10" t="inlineStr"/>
    </row>
    <row r="65">
      <c r="A65" s="10" t="n">
        <v>5</v>
      </c>
      <c r="B65" s="10" t="inlineStr">
        <is>
          <t>SELECT ALL PLAYERS ON A ROSTER AND DELETE (HIGH)</t>
        </is>
      </c>
      <c r="C65" s="10" t="inlineStr">
        <is>
          <t>5.2</t>
        </is>
      </c>
      <c r="D65" s="10" t="inlineStr">
        <is>
          <t>After</t>
        </is>
      </c>
      <c r="E65" s="10" t="inlineStr">
        <is>
          <t>AFTER (expected)</t>
        </is>
      </c>
      <c r="F65" s="10" t="inlineStr">
        <is>
          <t>"Select" button appears (only when the team has players).</t>
        </is>
      </c>
      <c r="G65" s="10" t="inlineStr"/>
      <c r="H65" s="10" t="inlineStr"/>
      <c r="I65" s="10" t="inlineStr"/>
      <c r="J65" s="10" t="inlineStr"/>
      <c r="K65" s="10" t="inlineStr"/>
      <c r="L65" s="10" t="inlineStr"/>
      <c r="M65" s="10" t="inlineStr"/>
    </row>
    <row r="66">
      <c r="A66" s="10" t="n">
        <v>5</v>
      </c>
      <c r="B66" s="10" t="inlineStr">
        <is>
          <t>SELECT ALL PLAYERS ON A ROSTER AND DELETE (HIGH)</t>
        </is>
      </c>
      <c r="C66" s="10" t="inlineStr">
        <is>
          <t>5.3</t>
        </is>
      </c>
      <c r="D66" s="10" t="inlineStr">
        <is>
          <t>After</t>
        </is>
      </c>
      <c r="E66" s="10" t="inlineStr">
        <is>
          <t>AFTER (expected)</t>
        </is>
      </c>
      <c r="F66" s="10" t="inlineStr">
        <is>
          <t>Tap Select -&gt; Back / Select All / Delete Selected (disabled), checkboxes on every row, per-row Remove hidden.</t>
        </is>
      </c>
      <c r="G66" s="10" t="inlineStr">
        <is>
          <t>Yes</t>
        </is>
      </c>
      <c r="H66" s="10" t="inlineStr"/>
      <c r="I66" s="10" t="inlineStr"/>
      <c r="J66" s="10" t="inlineStr"/>
      <c r="K66" s="10" t="inlineStr"/>
      <c r="L66" s="10" t="inlineStr"/>
      <c r="M66" s="10" t="inlineStr"/>
    </row>
    <row r="67">
      <c r="A67" s="10" t="n">
        <v>5</v>
      </c>
      <c r="B67" s="10" t="inlineStr">
        <is>
          <t>SELECT ALL PLAYERS ON A ROSTER AND DELETE (HIGH)</t>
        </is>
      </c>
      <c r="C67" s="10" t="inlineStr">
        <is>
          <t>5.4</t>
        </is>
      </c>
      <c r="D67" s="10" t="inlineStr">
        <is>
          <t>After</t>
        </is>
      </c>
      <c r="E67" s="10" t="inlineStr">
        <is>
          <t>AFTER (expected)</t>
        </is>
      </c>
      <c r="F67" s="10" t="inlineStr">
        <is>
          <t>Select All with NO search -&gt; "Delete Selected (N)" where N is the WHOLE team (999 on the test team), not just loaded rows.</t>
        </is>
      </c>
      <c r="G67" s="10" t="inlineStr">
        <is>
          <t>Yes</t>
        </is>
      </c>
      <c r="H67" s="10" t="inlineStr"/>
      <c r="I67" s="10" t="inlineStr"/>
      <c r="J67" s="10" t="inlineStr"/>
      <c r="K67" s="10" t="inlineStr"/>
      <c r="L67" s="10" t="inlineStr"/>
      <c r="M67" s="10" t="inlineStr"/>
    </row>
    <row r="68">
      <c r="A68" s="10" t="n">
        <v>5</v>
      </c>
      <c r="B68" s="10" t="inlineStr">
        <is>
          <t>SELECT ALL PLAYERS ON A ROSTER AND DELETE (HIGH)</t>
        </is>
      </c>
      <c r="C68" s="10" t="inlineStr">
        <is>
          <t>5.5</t>
        </is>
      </c>
      <c r="D68" s="10" t="inlineStr">
        <is>
          <t>After</t>
        </is>
      </c>
      <c r="E68" s="10" t="inlineStr">
        <is>
          <t>AFTER (expected)</t>
        </is>
      </c>
      <c r="F68" s="10" t="inlineStr">
        <is>
          <t>Tap Delete Selected -&gt; confirmation shows the right count.</t>
        </is>
      </c>
      <c r="G68" s="10" t="inlineStr"/>
      <c r="H68" s="10" t="inlineStr"/>
      <c r="I68" s="10" t="inlineStr"/>
      <c r="J68" s="10" t="inlineStr"/>
      <c r="K68" s="10" t="inlineStr"/>
      <c r="L68" s="10" t="inlineStr"/>
      <c r="M68" s="10" t="inlineStr"/>
    </row>
    <row r="69">
      <c r="A69" s="10" t="n">
        <v>5</v>
      </c>
      <c r="B69" s="10" t="inlineStr">
        <is>
          <t>SELECT ALL PLAYERS ON A ROSTER AND DELETE (HIGH)</t>
        </is>
      </c>
      <c r="C69" s="10" t="inlineStr">
        <is>
          <t>5.6</t>
        </is>
      </c>
      <c r="D69" s="10" t="inlineStr">
        <is>
          <t>After</t>
        </is>
      </c>
      <c r="E69" s="10" t="inlineStr">
        <is>
          <t>AFTER (expected)</t>
        </is>
      </c>
      <c r="F69" s="10" t="inlineStr">
        <is>
          <t>Confirm -&gt; all removed; list empties; Players badge 0; no page refresh needed; DB team_roster rows gone.</t>
        </is>
      </c>
      <c r="G69" s="10" t="inlineStr"/>
      <c r="H69" s="10" t="inlineStr"/>
      <c r="I69" s="10" t="inlineStr"/>
      <c r="J69" s="10" t="inlineStr"/>
      <c r="K69" s="10" t="inlineStr"/>
      <c r="L69" s="10" t="inlineStr"/>
      <c r="M69" s="10" t="inlineStr"/>
    </row>
    <row r="70">
      <c r="A70" s="10" t="n">
        <v>5</v>
      </c>
      <c r="B70" s="10" t="inlineStr">
        <is>
          <t>SELECT ALL PLAYERS ON A ROSTER AND DELETE (HIGH)</t>
        </is>
      </c>
      <c r="C70" s="10" t="inlineStr">
        <is>
          <t>5.7</t>
        </is>
      </c>
      <c r="D70" s="10" t="inlineStr">
        <is>
          <t>After</t>
        </is>
      </c>
      <c r="E70" s="10" t="inlineStr">
        <is>
          <t>AFTER (expected)</t>
        </is>
      </c>
      <c r="F70" s="10" t="inlineStr">
        <is>
          <t>Tap individual rows to select 3, delete -&gt; only those 3 go.</t>
        </is>
      </c>
      <c r="G70" s="10" t="inlineStr"/>
      <c r="H70" s="10" t="inlineStr"/>
      <c r="I70" s="10" t="inlineStr"/>
      <c r="J70" s="10" t="inlineStr"/>
      <c r="K70" s="10" t="inlineStr"/>
      <c r="L70" s="10" t="inlineStr"/>
      <c r="M70" s="10" t="inlineStr"/>
    </row>
    <row r="71">
      <c r="A71" s="10" t="n">
        <v>5</v>
      </c>
      <c r="B71" s="10" t="inlineStr">
        <is>
          <t>SELECT ALL PLAYERS ON A ROSTER AND DELETE (HIGH)</t>
        </is>
      </c>
      <c r="C71" s="10" t="inlineStr">
        <is>
          <t>5.8</t>
        </is>
      </c>
      <c r="D71" s="10" t="inlineStr">
        <is>
          <t>After</t>
        </is>
      </c>
      <c r="E71" s="10" t="inlineStr">
        <is>
          <t>AFTER (expected)</t>
        </is>
      </c>
      <c r="F71" s="10" t="inlineStr">
        <is>
          <t>Search "Smith" then Select All -&gt; selects only the matches shown; deleting removes only those.</t>
        </is>
      </c>
      <c r="G71" s="10" t="inlineStr"/>
      <c r="H71" s="10" t="inlineStr"/>
      <c r="I71" s="10" t="inlineStr"/>
      <c r="J71" s="10" t="inlineStr"/>
      <c r="K71" s="10" t="inlineStr"/>
      <c r="L71" s="10" t="inlineStr"/>
      <c r="M71" s="10" t="inlineStr"/>
    </row>
    <row r="72">
      <c r="A72" s="10" t="n">
        <v>5</v>
      </c>
      <c r="B72" s="10" t="inlineStr">
        <is>
          <t>SELECT ALL PLAYERS ON A ROSTER AND DELETE (HIGH)</t>
        </is>
      </c>
      <c r="C72" s="10" t="inlineStr">
        <is>
          <t>5.9</t>
        </is>
      </c>
      <c r="D72" s="10" t="inlineStr">
        <is>
          <t>After</t>
        </is>
      </c>
      <c r="E72" s="10" t="inlineStr">
        <is>
          <t>AFTER (expected)</t>
        </is>
      </c>
      <c r="F72" s="10" t="inlineStr">
        <is>
          <t>Deselect All returns count to 0 and disables Delete.</t>
        </is>
      </c>
      <c r="G72" s="10" t="inlineStr"/>
      <c r="H72" s="10" t="inlineStr"/>
      <c r="I72" s="10" t="inlineStr"/>
      <c r="J72" s="10" t="inlineStr"/>
      <c r="K72" s="10" t="inlineStr"/>
      <c r="L72" s="10" t="inlineStr"/>
      <c r="M72" s="10" t="inlineStr"/>
    </row>
    <row r="73">
      <c r="A73" s="10" t="n">
        <v>5</v>
      </c>
      <c r="B73" s="10" t="inlineStr">
        <is>
          <t>SELECT ALL PLAYERS ON A ROSTER AND DELETE (HIGH)</t>
        </is>
      </c>
      <c r="C73" s="10" t="inlineStr">
        <is>
          <t>5.10</t>
        </is>
      </c>
      <c r="D73" s="10" t="inlineStr">
        <is>
          <t>After</t>
        </is>
      </c>
      <c r="E73" s="10" t="inlineStr">
        <is>
          <t>AFTER (expected)</t>
        </is>
      </c>
      <c r="F73" s="10" t="inlineStr">
        <is>
          <t>Back exits select mode with nothing deleted.</t>
        </is>
      </c>
      <c r="G73" s="10" t="inlineStr"/>
      <c r="H73" s="10" t="inlineStr"/>
      <c r="I73" s="10" t="inlineStr"/>
      <c r="J73" s="10" t="inlineStr"/>
      <c r="K73" s="10" t="inlineStr"/>
      <c r="L73" s="10" t="inlineStr"/>
      <c r="M73" s="10" t="inlineStr"/>
    </row>
    <row r="74">
      <c r="A74" s="10" t="n">
        <v>5</v>
      </c>
      <c r="B74" s="10" t="inlineStr">
        <is>
          <t>SELECT ALL PLAYERS ON A ROSTER AND DELETE (HIGH)</t>
        </is>
      </c>
      <c r="C74" s="10" t="inlineStr">
        <is>
          <t>5.11</t>
        </is>
      </c>
      <c r="D74" s="10" t="inlineStr">
        <is>
          <t>After</t>
        </is>
      </c>
      <c r="E74" s="10" t="inlineStr">
        <is>
          <t>AFTER (expected)</t>
        </is>
      </c>
      <c r="F74" s="10" t="inlineStr">
        <is>
          <t>Switch tab (Schedule/Evaluations) while in select mode, then return -&gt; select mode is off, nothing selected.</t>
        </is>
      </c>
      <c r="G74" s="10" t="inlineStr"/>
      <c r="H74" s="10" t="inlineStr"/>
      <c r="I74" s="10" t="inlineStr"/>
      <c r="J74" s="10" t="inlineStr"/>
      <c r="K74" s="10" t="inlineStr"/>
      <c r="L74" s="10" t="inlineStr"/>
      <c r="M74" s="10" t="inlineStr"/>
    </row>
    <row r="75">
      <c r="A75" s="10" t="n">
        <v>5</v>
      </c>
      <c r="B75" s="10" t="inlineStr">
        <is>
          <t>SELECT ALL PLAYERS ON A ROSTER AND DELETE (HIGH)</t>
        </is>
      </c>
      <c r="C75" s="10" t="inlineStr">
        <is>
          <t>5.12</t>
        </is>
      </c>
      <c r="D75" s="10" t="inlineStr">
        <is>
          <t>After</t>
        </is>
      </c>
      <c r="E75" s="10" t="inlineStr">
        <is>
          <t>AFTER (expected)</t>
        </is>
      </c>
      <c r="F75" s="10" t="inlineStr">
        <is>
          <t>Airplane mode during delete -&gt; error message; players still shown match what is really on the roster after refresh.</t>
        </is>
      </c>
      <c r="G75" s="10" t="inlineStr"/>
      <c r="H75" s="10" t="inlineStr"/>
      <c r="I75" s="10" t="inlineStr"/>
      <c r="J75" s="10" t="inlineStr"/>
      <c r="K75" s="10" t="inlineStr"/>
      <c r="L75" s="10" t="inlineStr"/>
      <c r="M75" s="10" t="inlineStr"/>
    </row>
    <row r="76">
      <c r="A76" s="10" t="n">
        <v>5</v>
      </c>
      <c r="B76" s="10" t="inlineStr">
        <is>
          <t>SELECT ALL PLAYERS ON A ROSTER AND DELETE (HIGH)</t>
        </is>
      </c>
      <c r="C76" s="10" t="inlineStr">
        <is>
          <t>5.13</t>
        </is>
      </c>
      <c r="D76" s="10" t="inlineStr">
        <is>
          <t>After</t>
        </is>
      </c>
      <c r="E76" s="10" t="inlineStr">
        <is>
          <t>AFTER (expected)</t>
        </is>
      </c>
      <c r="F76" s="10" t="inlineStr">
        <is>
          <t>Delete everyone, then add one player again -&gt; works, empty state shown in between.</t>
        </is>
      </c>
      <c r="G76" s="10" t="inlineStr"/>
      <c r="H76" s="10" t="inlineStr"/>
      <c r="I76" s="10" t="inlineStr"/>
      <c r="J76" s="10" t="inlineStr"/>
      <c r="K76" s="10" t="inlineStr"/>
      <c r="L76" s="10" t="inlineStr"/>
      <c r="M76" s="10" t="inlineStr"/>
    </row>
    <row r="77">
      <c r="A77" s="10" t="n">
        <v>5</v>
      </c>
      <c r="B77" s="10" t="inlineStr">
        <is>
          <t>SELECT ALL PLAYERS ON A ROSTER AND DELETE (HIGH)</t>
        </is>
      </c>
      <c r="C77" s="10" t="inlineStr">
        <is>
          <t>5.14</t>
        </is>
      </c>
      <c r="D77" s="10" t="inlineStr">
        <is>
          <t>After</t>
        </is>
      </c>
      <c r="E77" s="10" t="inlineStr">
        <is>
          <t>AFTER (expected)</t>
        </is>
      </c>
      <c r="F77" s="10" t="inlineStr">
        <is>
          <t>Old single "Remove" (outside select mode) still works with its confirmation.</t>
        </is>
      </c>
      <c r="G77" s="10" t="inlineStr"/>
      <c r="H77" s="10" t="inlineStr"/>
      <c r="I77" s="10" t="inlineStr"/>
      <c r="J77" s="10" t="inlineStr"/>
      <c r="K77" s="10" t="inlineStr"/>
      <c r="L77" s="10" t="inlineStr"/>
      <c r="M77" s="10" t="inlineStr"/>
    </row>
    <row r="78">
      <c r="A78" s="10" t="n">
        <v>5</v>
      </c>
      <c r="B78" s="10" t="inlineStr">
        <is>
          <t>SELECT ALL PLAYERS ON A ROSTER AND DELETE (HIGH)</t>
        </is>
      </c>
      <c r="C78" s="10" t="inlineStr">
        <is>
          <t>5.15</t>
        </is>
      </c>
      <c r="D78" s="10" t="inlineStr">
        <is>
          <t>After</t>
        </is>
      </c>
      <c r="E78" s="10" t="inlineStr">
        <is>
          <t>AFTER (expected)</t>
        </is>
      </c>
      <c r="F78" s="10" t="inlineStr">
        <is>
          <t>Athletes are NOT erased from the account: after removing from the team they can be added again via "Add Players from Evaluations".</t>
        </is>
      </c>
      <c r="G78" s="10" t="inlineStr"/>
      <c r="H78" s="10" t="inlineStr"/>
      <c r="I78" s="10" t="inlineStr"/>
      <c r="J78" s="10" t="inlineStr"/>
      <c r="K78" s="10" t="inlineStr"/>
      <c r="L78" s="10" t="inlineStr"/>
      <c r="M78" s="10" t="inlineStr"/>
    </row>
    <row r="79">
      <c r="A79" s="10" t="n">
        <v>5</v>
      </c>
      <c r="B79" s="10" t="inlineStr">
        <is>
          <t>SELECT ALL PLAYERS ON A ROSTER AND DELETE (HIGH)</t>
        </is>
      </c>
      <c r="C79" s="10" t="inlineStr">
        <is>
          <t>5.16</t>
        </is>
      </c>
      <c r="D79" s="10" t="inlineStr">
        <is>
          <t>After</t>
        </is>
      </c>
      <c r="E79" s="10" t="inlineStr">
        <is>
          <t>AFTER (expected)</t>
        </is>
      </c>
      <c r="F79" s="10" t="inlineStr">
        <is>
          <t>Season/schedule screens (RSVP counts) refresh after removal.</t>
        </is>
      </c>
      <c r="G79" s="10" t="inlineStr"/>
      <c r="H79" s="10" t="inlineStr"/>
      <c r="I79" s="10" t="inlineStr"/>
      <c r="J79" s="10" t="inlineStr"/>
      <c r="K79" s="10" t="inlineStr"/>
      <c r="L79" s="10" t="inlineStr"/>
      <c r="M79" s="10" t="inlineStr"/>
    </row>
    <row r="80">
      <c r="A80" s="10" t="n">
        <v>5</v>
      </c>
      <c r="B80" s="10" t="inlineStr">
        <is>
          <t>SELECT ALL PLAYERS ON A ROSTER AND DELETE (HIGH)</t>
        </is>
      </c>
      <c r="C80" s="10" t="inlineStr">
        <is>
          <t>5.17</t>
        </is>
      </c>
      <c r="D80" s="10" t="inlineStr">
        <is>
          <t>Before</t>
        </is>
      </c>
      <c r="E80" s="10" t="inlineStr">
        <is>
          <t>BEFORE</t>
        </is>
      </c>
      <c r="F80" s="10" t="inlineStr">
        <is>
          <t>Roster of 25+: Select &gt; Select All &gt; Delete Selected. Note whether all really go / any error.</t>
        </is>
      </c>
      <c r="G80" s="10" t="inlineStr"/>
      <c r="H80" s="10" t="inlineStr"/>
      <c r="I80" s="10" t="inlineStr"/>
      <c r="J80" s="10" t="inlineStr"/>
      <c r="K80" s="10" t="inlineStr"/>
      <c r="L80" s="10" t="inlineStr"/>
      <c r="M80" s="10" t="inlineStr"/>
    </row>
    <row r="81">
      <c r="A81" s="10" t="n">
        <v>5</v>
      </c>
      <c r="B81" s="10" t="inlineStr">
        <is>
          <t>SELECT ALL PLAYERS ON A ROSTER AND DELETE (HIGH)</t>
        </is>
      </c>
      <c r="C81" s="10" t="inlineStr">
        <is>
          <t>5.18</t>
        </is>
      </c>
      <c r="D81" s="10" t="inlineStr">
        <is>
          <t>After</t>
        </is>
      </c>
      <c r="E81" s="10" t="inlineStr">
        <is>
          <t>AFTER (expected)</t>
        </is>
      </c>
      <c r="F81" s="10" t="inlineStr">
        <is>
          <t>Select All + Delete: all removed, requests run in small groups (no freeze), loading state shown.</t>
        </is>
      </c>
      <c r="G81" s="10" t="inlineStr"/>
      <c r="H81" s="10" t="inlineStr"/>
      <c r="I81" s="10" t="inlineStr"/>
      <c r="J81" s="10" t="inlineStr"/>
      <c r="K81" s="10" t="inlineStr"/>
      <c r="L81" s="10" t="inlineStr"/>
      <c r="M81" s="10" t="inlineStr"/>
    </row>
    <row r="82">
      <c r="A82" s="10" t="n">
        <v>5</v>
      </c>
      <c r="B82" s="10" t="inlineStr">
        <is>
          <t>SELECT ALL PLAYERS ON A ROSTER AND DELETE (HIGH)</t>
        </is>
      </c>
      <c r="C82" s="10" t="inlineStr">
        <is>
          <t>5.19</t>
        </is>
      </c>
      <c r="D82" s="10" t="inlineStr">
        <is>
          <t>After</t>
        </is>
      </c>
      <c r="E82" s="10" t="inlineStr">
        <is>
          <t>AFTER (expected)</t>
        </is>
      </c>
      <c r="F82" s="10" t="inlineStr">
        <is>
          <t>Filter by a position, Select All, delete -&gt; only that filtered group deleted.</t>
        </is>
      </c>
      <c r="G82" s="10" t="inlineStr"/>
      <c r="H82" s="10" t="inlineStr"/>
      <c r="I82" s="10" t="inlineStr"/>
      <c r="J82" s="10" t="inlineStr"/>
      <c r="K82" s="10" t="inlineStr"/>
      <c r="L82" s="10" t="inlineStr"/>
      <c r="M82" s="10" t="inlineStr"/>
    </row>
    <row r="83">
      <c r="A83" s="10" t="n">
        <v>5</v>
      </c>
      <c r="B83" s="10" t="inlineStr">
        <is>
          <t>SELECT ALL PLAYERS ON A ROSTER AND DELETE (HIGH)</t>
        </is>
      </c>
      <c r="C83" s="10" t="inlineStr">
        <is>
          <t>5.20</t>
        </is>
      </c>
      <c r="D83" s="10" t="inlineStr">
        <is>
          <t>After</t>
        </is>
      </c>
      <c r="E83" s="10" t="inlineStr">
        <is>
          <t>AFTER (expected)</t>
        </is>
      </c>
      <c r="F83" s="10" t="inlineStr">
        <is>
          <t>If some fail: message "X of Y deleted. Z could not be removed: &lt;reason&gt;"; the remaining ones stay SELECTED so a retry targets only them.</t>
        </is>
      </c>
      <c r="G83" s="10" t="inlineStr"/>
      <c r="H83" s="10" t="inlineStr"/>
      <c r="I83" s="10" t="inlineStr"/>
      <c r="J83" s="10" t="inlineStr"/>
      <c r="K83" s="10" t="inlineStr"/>
      <c r="L83" s="10" t="inlineStr"/>
      <c r="M83" s="10" t="inlineStr"/>
    </row>
    <row r="84">
      <c r="A84" s="10" t="n">
        <v>5</v>
      </c>
      <c r="B84" s="10" t="inlineStr">
        <is>
          <t>SELECT ALL PLAYERS ON A ROSTER AND DELETE (HIGH)</t>
        </is>
      </c>
      <c r="C84" s="10" t="inlineStr">
        <is>
          <t>5.21</t>
        </is>
      </c>
      <c r="D84" s="10" t="inlineStr">
        <is>
          <t>After</t>
        </is>
      </c>
      <c r="E84" s="10" t="inlineStr">
        <is>
          <t>AFTER (expected)</t>
        </is>
      </c>
      <c r="F84" s="10" t="inlineStr">
        <is>
          <t>Roster count, dashboard evaluation player count and "Scored/Unscored" chips update after deletion.</t>
        </is>
      </c>
      <c r="G84" s="10" t="inlineStr"/>
      <c r="H84" s="10" t="inlineStr"/>
      <c r="I84" s="10" t="inlineStr"/>
      <c r="J84" s="10" t="inlineStr"/>
      <c r="K84" s="10" t="inlineStr"/>
      <c r="L84" s="10" t="inlineStr"/>
      <c r="M84" s="10" t="inlineStr"/>
    </row>
    <row r="85">
      <c r="A85" s="10" t="n">
        <v>5</v>
      </c>
      <c r="B85" s="10" t="inlineStr">
        <is>
          <t>SELECT ALL PLAYERS ON A ROSTER AND DELETE (HIGH)</t>
        </is>
      </c>
      <c r="C85" s="10" t="inlineStr">
        <is>
          <t>5.22</t>
        </is>
      </c>
      <c r="D85" s="10" t="inlineStr">
        <is>
          <t>After</t>
        </is>
      </c>
      <c r="E85" s="10" t="inlineStr">
        <is>
          <t>AFTER (expected)</t>
        </is>
      </c>
      <c r="F85" s="10" t="inlineStr">
        <is>
          <t>Single player delete from the player screen still works.</t>
        </is>
      </c>
      <c r="G85" s="10" t="inlineStr"/>
      <c r="H85" s="10" t="inlineStr"/>
      <c r="I85" s="10" t="inlineStr"/>
      <c r="J85" s="10" t="inlineStr"/>
      <c r="K85" s="10" t="inlineStr"/>
      <c r="L85" s="10" t="inlineStr"/>
      <c r="M85" s="10" t="inlineStr"/>
    </row>
    <row r="86">
      <c r="A86" s="10" t="n">
        <v>6</v>
      </c>
      <c r="B86" s="10" t="inlineStr">
        <is>
          <t>EDIT BUTTON ON THE EVALUATION TILE</t>
        </is>
      </c>
      <c r="C86" s="10" t="inlineStr">
        <is>
          <t>6.1</t>
        </is>
      </c>
      <c r="D86" s="10" t="inlineStr">
        <is>
          <t>Before</t>
        </is>
      </c>
      <c r="E86" s="10" t="inlineStr">
        <is>
          <t>BEFORE</t>
        </is>
      </c>
      <c r="F86" s="10" t="inlineStr">
        <is>
          <t>Evaluations list: look at a tile. Expected: only trash icon, no way to edit from the tile.</t>
        </is>
      </c>
      <c r="G86" s="10" t="inlineStr"/>
      <c r="H86" s="10" t="inlineStr"/>
      <c r="I86" s="10" t="inlineStr"/>
      <c r="J86" s="10" t="inlineStr"/>
      <c r="K86" s="10" t="inlineStr"/>
      <c r="L86" s="10" t="inlineStr"/>
      <c r="M86" s="10" t="inlineStr"/>
    </row>
    <row r="87">
      <c r="A87" s="10" t="n">
        <v>6</v>
      </c>
      <c r="B87" s="10" t="inlineStr">
        <is>
          <t>EDIT BUTTON ON THE EVALUATION TILE</t>
        </is>
      </c>
      <c r="C87" s="10" t="inlineStr">
        <is>
          <t>6.2</t>
        </is>
      </c>
      <c r="D87" s="10" t="inlineStr">
        <is>
          <t>Before</t>
        </is>
      </c>
      <c r="E87" s="10" t="inlineStr">
        <is>
          <t>BEFORE</t>
        </is>
      </c>
      <c r="F87" s="10" t="inlineStr">
        <is>
          <t>To edit, open evaluation &gt; Settings tab &gt; "Edit Details".</t>
        </is>
      </c>
      <c r="G87" s="10" t="inlineStr"/>
      <c r="H87" s="10" t="inlineStr"/>
      <c r="I87" s="10" t="inlineStr"/>
      <c r="J87" s="10" t="inlineStr"/>
      <c r="K87" s="10" t="inlineStr"/>
      <c r="L87" s="10" t="inlineStr"/>
      <c r="M87" s="10" t="inlineStr"/>
    </row>
    <row r="88">
      <c r="A88" s="10" t="n">
        <v>6</v>
      </c>
      <c r="B88" s="10" t="inlineStr">
        <is>
          <t>EDIT BUTTON ON THE EVALUATION TILE</t>
        </is>
      </c>
      <c r="C88" s="10" t="inlineStr">
        <is>
          <t>6.3</t>
        </is>
      </c>
      <c r="D88" s="10" t="inlineStr">
        <is>
          <t>After</t>
        </is>
      </c>
      <c r="E88" s="10" t="inlineStr">
        <is>
          <t>AFTER (expected)</t>
        </is>
      </c>
      <c r="F88" s="10" t="inlineStr">
        <is>
          <t>A pencil icon sits next to the trash icon on every evaluation tile.</t>
        </is>
      </c>
      <c r="G88" s="10" t="inlineStr">
        <is>
          <t>Yes</t>
        </is>
      </c>
      <c r="H88" s="10" t="inlineStr"/>
      <c r="I88" s="10" t="inlineStr"/>
      <c r="J88" s="10" t="inlineStr"/>
      <c r="K88" s="10" t="inlineStr"/>
      <c r="L88" s="10" t="inlineStr"/>
      <c r="M88" s="10" t="inlineStr"/>
    </row>
    <row r="89">
      <c r="A89" s="10" t="n">
        <v>6</v>
      </c>
      <c r="B89" s="10" t="inlineStr">
        <is>
          <t>EDIT BUTTON ON THE EVALUATION TILE</t>
        </is>
      </c>
      <c r="C89" s="10" t="inlineStr">
        <is>
          <t>6.4</t>
        </is>
      </c>
      <c r="D89" s="10" t="inlineStr">
        <is>
          <t>After</t>
        </is>
      </c>
      <c r="E89" s="10" t="inlineStr">
        <is>
          <t>AFTER (expected)</t>
        </is>
      </c>
      <c r="F89" s="10" t="inlineStr">
        <is>
          <t>Tap pencil -&gt; "Edit Evaluation" dialog pre-filled with name, date, start time, END time and location.</t>
        </is>
      </c>
      <c r="G89" s="10" t="inlineStr">
        <is>
          <t>Yes</t>
        </is>
      </c>
      <c r="H89" s="10" t="inlineStr"/>
      <c r="I89" s="10" t="inlineStr"/>
      <c r="J89" s="10" t="inlineStr"/>
      <c r="K89" s="10" t="inlineStr"/>
      <c r="L89" s="10" t="inlineStr"/>
      <c r="M89" s="10" t="inlineStr"/>
    </row>
    <row r="90">
      <c r="A90" s="10" t="n">
        <v>6</v>
      </c>
      <c r="B90" s="10" t="inlineStr">
        <is>
          <t>EDIT BUTTON ON THE EVALUATION TILE</t>
        </is>
      </c>
      <c r="C90" s="10" t="inlineStr">
        <is>
          <t>6.5</t>
        </is>
      </c>
      <c r="D90" s="10" t="inlineStr">
        <is>
          <t>After</t>
        </is>
      </c>
      <c r="E90" s="10" t="inlineStr">
        <is>
          <t>AFTER (expected)</t>
        </is>
      </c>
      <c r="F90" s="10" t="inlineStr">
        <is>
          <t>Change the name + location, Save -&gt; tile updates immediately; opening the evaluation &gt; Settings shows the same values.</t>
        </is>
      </c>
      <c r="G90" s="10" t="inlineStr"/>
      <c r="H90" s="10" t="inlineStr"/>
      <c r="I90" s="10" t="inlineStr"/>
      <c r="J90" s="10" t="inlineStr"/>
      <c r="K90" s="10" t="inlineStr"/>
      <c r="L90" s="10" t="inlineStr"/>
      <c r="M90" s="10" t="inlineStr"/>
    </row>
    <row r="91">
      <c r="A91" s="10" t="n">
        <v>6</v>
      </c>
      <c r="B91" s="10" t="inlineStr">
        <is>
          <t>EDIT BUTTON ON THE EVALUATION TILE</t>
        </is>
      </c>
      <c r="C91" s="10" t="inlineStr">
        <is>
          <t>6.6</t>
        </is>
      </c>
      <c r="D91" s="10" t="inlineStr">
        <is>
          <t>After</t>
        </is>
      </c>
      <c r="E91" s="10" t="inlineStr">
        <is>
          <t>AFTER (expected)</t>
        </is>
      </c>
      <c r="F91" s="10" t="inlineStr">
        <is>
          <t>Pencil &gt; Close/X without saving -&gt; nothing changes.</t>
        </is>
      </c>
      <c r="G91" s="10" t="inlineStr"/>
      <c r="H91" s="10" t="inlineStr"/>
      <c r="I91" s="10" t="inlineStr"/>
      <c r="J91" s="10" t="inlineStr"/>
      <c r="K91" s="10" t="inlineStr"/>
      <c r="L91" s="10" t="inlineStr"/>
      <c r="M91" s="10" t="inlineStr"/>
    </row>
    <row r="92">
      <c r="A92" s="10" t="n">
        <v>6</v>
      </c>
      <c r="B92" s="10" t="inlineStr">
        <is>
          <t>EDIT BUTTON ON THE EVALUATION TILE</t>
        </is>
      </c>
      <c r="C92" s="10" t="inlineStr">
        <is>
          <t>6.7</t>
        </is>
      </c>
      <c r="D92" s="10" t="inlineStr">
        <is>
          <t>After</t>
        </is>
      </c>
      <c r="E92" s="10" t="inlineStr">
        <is>
          <t>AFTER (expected)</t>
        </is>
      </c>
      <c r="F92" s="10" t="inlineStr">
        <is>
          <t>Tap the tile body -&gt; still opens the evaluation.</t>
        </is>
      </c>
      <c r="G92" s="10" t="inlineStr">
        <is>
          <t>Yes</t>
        </is>
      </c>
      <c r="H92" s="10" t="inlineStr"/>
      <c r="I92" s="10" t="inlineStr"/>
      <c r="J92" s="10" t="inlineStr"/>
      <c r="K92" s="10" t="inlineStr"/>
      <c r="L92" s="10" t="inlineStr"/>
      <c r="M92" s="10" t="inlineStr"/>
    </row>
    <row r="93">
      <c r="A93" s="10" t="n">
        <v>6</v>
      </c>
      <c r="B93" s="10" t="inlineStr">
        <is>
          <t>EDIT BUTTON ON THE EVALUATION TILE</t>
        </is>
      </c>
      <c r="C93" s="10" t="inlineStr">
        <is>
          <t>6.8</t>
        </is>
      </c>
      <c r="D93" s="10" t="inlineStr">
        <is>
          <t>After</t>
        </is>
      </c>
      <c r="E93" s="10" t="inlineStr">
        <is>
          <t>AFTER (expected)</t>
        </is>
      </c>
      <c r="F93" s="10" t="inlineStr">
        <is>
          <t>Tap trash -&gt; delete confirmation still works (cancel it).</t>
        </is>
      </c>
      <c r="G93" s="10" t="inlineStr"/>
      <c r="H93" s="10" t="inlineStr"/>
      <c r="I93" s="10" t="inlineStr"/>
      <c r="J93" s="10" t="inlineStr"/>
      <c r="K93" s="10" t="inlineStr"/>
      <c r="L93" s="10" t="inlineStr"/>
      <c r="M93" s="10" t="inlineStr"/>
    </row>
    <row r="94">
      <c r="A94" s="10" t="n">
        <v>6</v>
      </c>
      <c r="B94" s="10" t="inlineStr">
        <is>
          <t>EDIT BUTTON ON THE EVALUATION TILE</t>
        </is>
      </c>
      <c r="C94" s="10" t="inlineStr">
        <is>
          <t>6.9</t>
        </is>
      </c>
      <c r="D94" s="10" t="inlineStr">
        <is>
          <t>After</t>
        </is>
      </c>
      <c r="E94" s="10" t="inlineStr">
        <is>
          <t>AFTER (expected)</t>
        </is>
      </c>
      <c r="F94" s="10" t="inlineStr">
        <is>
          <t>Open pencil on tile A, close, open on tile B -&gt; dialog shows B's values (no leftovers from A).</t>
        </is>
      </c>
      <c r="G94" s="10" t="inlineStr"/>
      <c r="H94" s="10" t="inlineStr"/>
      <c r="I94" s="10" t="inlineStr"/>
      <c r="J94" s="10" t="inlineStr"/>
      <c r="K94" s="10" t="inlineStr"/>
      <c r="L94" s="10" t="inlineStr"/>
      <c r="M94" s="10" t="inlineStr"/>
    </row>
    <row r="95">
      <c r="A95" s="10" t="n">
        <v>6</v>
      </c>
      <c r="B95" s="10" t="inlineStr">
        <is>
          <t>EDIT BUTTON ON THE EVALUATION TILE</t>
        </is>
      </c>
      <c r="C95" s="10" t="inlineStr">
        <is>
          <t>6.10</t>
        </is>
      </c>
      <c r="D95" s="10" t="inlineStr">
        <is>
          <t>After</t>
        </is>
      </c>
      <c r="E95" s="10" t="inlineStr">
        <is>
          <t>AFTER (expected)</t>
        </is>
      </c>
      <c r="F95" s="10" t="inlineStr">
        <is>
          <t>Airplane mode + Save -&gt; error alert, dialog stays open.</t>
        </is>
      </c>
      <c r="G95" s="10" t="inlineStr"/>
      <c r="H95" s="10" t="inlineStr"/>
      <c r="I95" s="10" t="inlineStr"/>
      <c r="J95" s="10" t="inlineStr"/>
      <c r="K95" s="10" t="inlineStr"/>
      <c r="L95" s="10" t="inlineStr"/>
      <c r="M95" s="10" t="inlineStr"/>
    </row>
    <row r="96">
      <c r="A96" s="10" t="n">
        <v>6</v>
      </c>
      <c r="B96" s="10" t="inlineStr">
        <is>
          <t>EDIT BUTTON ON THE EVALUATION TILE</t>
        </is>
      </c>
      <c r="C96" s="10" t="inlineStr">
        <is>
          <t>6.11</t>
        </is>
      </c>
      <c r="D96" s="10" t="inlineStr">
        <is>
          <t>After</t>
        </is>
      </c>
      <c r="E96" s="10" t="inlineStr">
        <is>
          <t>AFTER (expected)</t>
        </is>
      </c>
      <c r="F96" s="10" t="inlineStr">
        <is>
          <t>Combine Mode on: tapping tiles still selects for combine; pencil does not break combine selection.</t>
        </is>
      </c>
      <c r="G96" s="10" t="inlineStr"/>
      <c r="H96" s="10" t="inlineStr"/>
      <c r="I96" s="10" t="inlineStr"/>
      <c r="J96" s="10" t="inlineStr"/>
      <c r="K96" s="10" t="inlineStr"/>
      <c r="L96" s="10" t="inlineStr"/>
      <c r="M96" s="10" t="inlineStr"/>
    </row>
    <row r="97">
      <c r="A97" s="10" t="n">
        <v>6</v>
      </c>
      <c r="B97" s="10" t="inlineStr">
        <is>
          <t>EDIT BUTTON ON THE EVALUATION TILE</t>
        </is>
      </c>
      <c r="C97" s="10" t="inlineStr">
        <is>
          <t>6.12</t>
        </is>
      </c>
      <c r="D97" s="10" t="inlineStr">
        <is>
          <t>After</t>
        </is>
      </c>
      <c r="E97" s="10" t="inlineStr">
        <is>
          <t>AFTER (expected)</t>
        </is>
      </c>
      <c r="F97" s="10" t="inlineStr">
        <is>
          <t>Pencil/trash tap targets are comfortable on a small phone (no mis-taps between them).</t>
        </is>
      </c>
      <c r="G97" s="10" t="inlineStr"/>
      <c r="H97" s="10" t="inlineStr"/>
      <c r="I97" s="10" t="inlineStr"/>
      <c r="J97" s="10" t="inlineStr"/>
      <c r="K97" s="10" t="inlineStr"/>
      <c r="L97" s="10" t="inlineStr"/>
      <c r="M97" s="10" t="inlineStr"/>
    </row>
    <row r="98">
      <c r="A98" s="10" t="n">
        <v>6</v>
      </c>
      <c r="B98" s="10" t="inlineStr">
        <is>
          <t>EDIT BUTTON ON THE EVALUATION TILE</t>
        </is>
      </c>
      <c r="C98" s="10" t="inlineStr">
        <is>
          <t>6.13</t>
        </is>
      </c>
      <c r="D98" s="10" t="inlineStr">
        <is>
          <t>After</t>
        </is>
      </c>
      <c r="E98" s="10" t="inlineStr">
        <is>
          <t>AFTER (expected)</t>
        </is>
      </c>
      <c r="F98" s="10" t="inlineStr">
        <is>
          <t>Evaluation Settings &gt; "Edit Details" (old route) still works and shows updated values.</t>
        </is>
      </c>
      <c r="G98" s="10" t="inlineStr"/>
      <c r="H98" s="10" t="inlineStr"/>
      <c r="I98" s="10" t="inlineStr"/>
      <c r="J98" s="10" t="inlineStr"/>
      <c r="K98" s="10" t="inlineStr"/>
      <c r="L98" s="10" t="inlineStr"/>
      <c r="M98" s="10" t="inlineStr"/>
    </row>
    <row r="99">
      <c r="A99" s="10" t="n">
        <v>6</v>
      </c>
      <c r="B99" s="10" t="inlineStr">
        <is>
          <t>EDIT BUTTON ON THE EVALUATION TILE</t>
        </is>
      </c>
      <c r="C99" s="10" t="inlineStr">
        <is>
          <t>6.14</t>
        </is>
      </c>
      <c r="D99" s="10" t="inlineStr">
        <is>
          <t>After</t>
        </is>
      </c>
      <c r="E99" s="10" t="inlineStr">
        <is>
          <t>AFTER (expected)</t>
        </is>
      </c>
      <c r="F99" s="10" t="inlineStr">
        <is>
          <t>The "Assigned to me" tiles (evaluations where you are only the assessor) - confirm with Shawn whether they need an edit button; currently they do NOT have one.</t>
        </is>
      </c>
      <c r="G99" s="10" t="inlineStr"/>
      <c r="H99" s="10" t="inlineStr"/>
      <c r="I99" s="10" t="inlineStr"/>
      <c r="J99" s="10" t="inlineStr"/>
      <c r="K99" s="10" t="inlineStr"/>
      <c r="L99" s="10" t="inlineStr"/>
      <c r="M99" s="10" t="inlineStr"/>
    </row>
    <row r="100">
      <c r="A100" s="10" t="n">
        <v>7</v>
      </c>
      <c r="B100" s="10" t="inlineStr">
        <is>
          <t>DATA / PERMISSION CHECKS (touching several fixes)</t>
        </is>
      </c>
      <c r="C100" s="10" t="inlineStr">
        <is>
          <t>7.1</t>
        </is>
      </c>
      <c r="D100" s="10" t="inlineStr">
        <is>
          <t>General</t>
        </is>
      </c>
      <c r="E100" s="10" t="inlineStr"/>
      <c r="F100" s="10" t="inlineStr">
        <is>
          <t>Owner coach account: all sections above work.</t>
        </is>
      </c>
      <c r="G100" s="10" t="inlineStr"/>
      <c r="H100" s="10" t="inlineStr"/>
      <c r="I100" s="10" t="inlineStr"/>
      <c r="J100" s="10" t="inlineStr"/>
      <c r="K100" s="10" t="inlineStr"/>
      <c r="L100" s="10" t="inlineStr"/>
      <c r="M100" s="10" t="inlineStr"/>
    </row>
    <row r="101">
      <c r="A101" s="10" t="n">
        <v>7</v>
      </c>
      <c r="B101" s="10" t="inlineStr">
        <is>
          <t>DATA / PERMISSION CHECKS (touching several fixes)</t>
        </is>
      </c>
      <c r="C101" s="10" t="inlineStr">
        <is>
          <t>7.2</t>
        </is>
      </c>
      <c r="D101" s="10" t="inlineStr">
        <is>
          <t>General</t>
        </is>
      </c>
      <c r="E101" s="10" t="inlineStr"/>
      <c r="F101" s="10" t="inlineStr">
        <is>
          <t>Delegated club manager on a club team: add, remove, import, select-all-delete all work and respect permissions.</t>
        </is>
      </c>
      <c r="G101" s="10" t="inlineStr"/>
      <c r="H101" s="10" t="inlineStr"/>
      <c r="I101" s="10" t="inlineStr"/>
      <c r="J101" s="10" t="inlineStr"/>
      <c r="K101" s="10" t="inlineStr"/>
      <c r="L101" s="10" t="inlineStr"/>
      <c r="M101" s="10" t="inlineStr"/>
    </row>
    <row r="102">
      <c r="A102" s="10" t="n">
        <v>7</v>
      </c>
      <c r="B102" s="10" t="inlineStr">
        <is>
          <t>DATA / PERMISSION CHECKS (touching several fixes)</t>
        </is>
      </c>
      <c r="C102" s="10" t="inlineStr">
        <is>
          <t>7.3</t>
        </is>
      </c>
      <c r="D102" s="10" t="inlineStr">
        <is>
          <t>General</t>
        </is>
      </c>
      <c r="E102" s="10" t="inlineStr"/>
      <c r="F102" s="10" t="inlineStr">
        <is>
          <t>Assessor-only account: cannot see edit/delete controls they could not before.</t>
        </is>
      </c>
      <c r="G102" s="10" t="inlineStr"/>
      <c r="H102" s="10" t="inlineStr"/>
      <c r="I102" s="10" t="inlineStr"/>
      <c r="J102" s="10" t="inlineStr"/>
      <c r="K102" s="10" t="inlineStr"/>
      <c r="L102" s="10" t="inlineStr"/>
      <c r="M102" s="10" t="inlineStr"/>
    </row>
    <row r="103">
      <c r="A103" s="10" t="n">
        <v>7</v>
      </c>
      <c r="B103" s="10" t="inlineStr">
        <is>
          <t>DATA / PERMISSION CHECKS (touching several fixes)</t>
        </is>
      </c>
      <c r="C103" s="10" t="inlineStr">
        <is>
          <t>7.4</t>
        </is>
      </c>
      <c r="D103" s="10" t="inlineStr">
        <is>
          <t>General</t>
        </is>
      </c>
      <c r="E103" s="10" t="inlineStr"/>
      <c r="F103" s="10" t="inlineStr">
        <is>
          <t>Guardian account: no new controls appear.</t>
        </is>
      </c>
      <c r="G103" s="10" t="inlineStr"/>
      <c r="H103" s="10" t="inlineStr"/>
      <c r="I103" s="10" t="inlineStr"/>
      <c r="J103" s="10" t="inlineStr"/>
      <c r="K103" s="10" t="inlineStr"/>
      <c r="L103" s="10" t="inlineStr"/>
      <c r="M103" s="10" t="inlineStr"/>
    </row>
    <row r="104">
      <c r="A104" s="10" t="n">
        <v>7</v>
      </c>
      <c r="B104" s="10" t="inlineStr">
        <is>
          <t>DATA / PERMISSION CHECKS (touching several fixes)</t>
        </is>
      </c>
      <c r="C104" s="10" t="inlineStr">
        <is>
          <t>7.5</t>
        </is>
      </c>
      <c r="D104" s="10" t="inlineStr">
        <is>
          <t>General</t>
        </is>
      </c>
      <c r="E104" s="10" t="inlineStr"/>
      <c r="F104" s="10" t="inlineStr">
        <is>
          <t>Player limit on Free plan enforced for: single add, bulk add from registrations, import.</t>
        </is>
      </c>
      <c r="G104" s="10" t="inlineStr"/>
      <c r="H104" s="10" t="inlineStr"/>
      <c r="I104" s="10" t="inlineStr"/>
      <c r="J104" s="10" t="inlineStr"/>
      <c r="K104" s="10" t="inlineStr"/>
      <c r="L104" s="10" t="inlineStr"/>
      <c r="M104" s="10" t="inlineStr"/>
    </row>
    <row r="105">
      <c r="A105" s="10" t="n">
        <v>7</v>
      </c>
      <c r="B105" s="10" t="inlineStr">
        <is>
          <t>DATA / PERMISSION CHECKS (touching several fixes)</t>
        </is>
      </c>
      <c r="C105" s="10" t="inlineStr">
        <is>
          <t>7.6</t>
        </is>
      </c>
      <c r="D105" s="10" t="inlineStr">
        <is>
          <t>General</t>
        </is>
      </c>
      <c r="E105" s="10" t="inlineStr"/>
      <c r="F105" s="10" t="inlineStr">
        <is>
          <t>Row-level security: removing players you do not own is refused with a clear message (not a silent success).</t>
        </is>
      </c>
      <c r="G105" s="10" t="inlineStr"/>
      <c r="H105" s="10" t="inlineStr"/>
      <c r="I105" s="10" t="inlineStr"/>
      <c r="J105" s="10" t="inlineStr"/>
      <c r="K105" s="10" t="inlineStr"/>
      <c r="L105" s="10" t="inlineStr"/>
      <c r="M105" s="10" t="inlineStr"/>
    </row>
    <row r="106">
      <c r="A106" s="10" t="n">
        <v>8</v>
      </c>
      <c r="B106" s="10" t="inlineStr">
        <is>
          <t>REGRESSION CHECKLIST (run on the NEW build)</t>
        </is>
      </c>
      <c r="C106" s="10" t="inlineStr">
        <is>
          <t>8.1</t>
        </is>
      </c>
      <c r="D106" s="10" t="inlineStr">
        <is>
          <t>Regression</t>
        </is>
      </c>
      <c r="E106" s="10" t="inlineStr">
        <is>
          <t>IMPORT / ROSTER WRITES</t>
        </is>
      </c>
      <c r="F106" s="10" t="inlineStr">
        <is>
          <t>"+ Add Player Manually" on a team still works.</t>
        </is>
      </c>
      <c r="G106" s="10" t="inlineStr"/>
      <c r="H106" s="10" t="inlineStr"/>
      <c r="I106" s="10" t="inlineStr"/>
      <c r="J106" s="10" t="inlineStr"/>
      <c r="K106" s="10" t="inlineStr"/>
      <c r="L106" s="10" t="inlineStr"/>
      <c r="M106" s="10" t="inlineStr"/>
    </row>
    <row r="107">
      <c r="A107" s="10" t="n">
        <v>8</v>
      </c>
      <c r="B107" s="10" t="inlineStr">
        <is>
          <t>REGRESSION CHECKLIST (run on the NEW build)</t>
        </is>
      </c>
      <c r="C107" s="10" t="inlineStr">
        <is>
          <t>8.2</t>
        </is>
      </c>
      <c r="D107" s="10" t="inlineStr">
        <is>
          <t>Regression</t>
        </is>
      </c>
      <c r="E107" s="10" t="inlineStr">
        <is>
          <t>IMPORT / ROSTER WRITES</t>
        </is>
      </c>
      <c r="F107" s="10" t="inlineStr">
        <is>
          <t>Add Players from Evaluations (tap-select + Select all) still adds the right players, sends invites.</t>
        </is>
      </c>
      <c r="G107" s="10" t="inlineStr"/>
      <c r="H107" s="10" t="inlineStr"/>
      <c r="I107" s="10" t="inlineStr"/>
      <c r="J107" s="10" t="inlineStr"/>
      <c r="K107" s="10" t="inlineStr"/>
      <c r="L107" s="10" t="inlineStr"/>
      <c r="M107" s="10" t="inlineStr"/>
    </row>
    <row r="108">
      <c r="A108" s="10" t="n">
        <v>8</v>
      </c>
      <c r="B108" s="10" t="inlineStr">
        <is>
          <t>REGRESSION CHECKLIST (run on the NEW build)</t>
        </is>
      </c>
      <c r="C108" s="10" t="inlineStr">
        <is>
          <t>8.3</t>
        </is>
      </c>
      <c r="D108" s="10" t="inlineStr">
        <is>
          <t>Regression</t>
        </is>
      </c>
      <c r="E108" s="10" t="inlineStr">
        <is>
          <t>IMPORT / ROSTER WRITES</t>
        </is>
      </c>
      <c r="F108" s="10" t="inlineStr">
        <is>
          <t>Per-row Remove on the team roster still works.</t>
        </is>
      </c>
      <c r="G108" s="10" t="inlineStr"/>
      <c r="H108" s="10" t="inlineStr"/>
      <c r="I108" s="10" t="inlineStr"/>
      <c r="J108" s="10" t="inlineStr"/>
      <c r="K108" s="10" t="inlineStr"/>
      <c r="L108" s="10" t="inlineStr"/>
      <c r="M108" s="10" t="inlineStr"/>
    </row>
    <row r="109">
      <c r="A109" s="10" t="n">
        <v>8</v>
      </c>
      <c r="B109" s="10" t="inlineStr">
        <is>
          <t>REGRESSION CHECKLIST (run on the NEW build)</t>
        </is>
      </c>
      <c r="C109" s="10" t="inlineStr">
        <is>
          <t>8.4</t>
        </is>
      </c>
      <c r="D109" s="10" t="inlineStr">
        <is>
          <t>Regression</t>
        </is>
      </c>
      <c r="E109" s="10" t="inlineStr">
        <is>
          <t>IMPORT / ROSTER WRITES</t>
        </is>
      </c>
      <c r="F109" s="10" t="inlineStr">
        <is>
          <t>Evaluation roster: Add, Import, Select, Tools all work.</t>
        </is>
      </c>
      <c r="G109" s="10" t="inlineStr"/>
      <c r="H109" s="10" t="inlineStr"/>
      <c r="I109" s="10" t="inlineStr"/>
      <c r="J109" s="10" t="inlineStr"/>
      <c r="K109" s="10" t="inlineStr"/>
      <c r="L109" s="10" t="inlineStr"/>
      <c r="M109" s="10" t="inlineStr"/>
    </row>
    <row r="110">
      <c r="A110" s="10" t="n">
        <v>8</v>
      </c>
      <c r="B110" s="10" t="inlineStr">
        <is>
          <t>REGRESSION CHECKLIST (run on the NEW build)</t>
        </is>
      </c>
      <c r="C110" s="10" t="inlineStr">
        <is>
          <t>8.5</t>
        </is>
      </c>
      <c r="D110" s="10" t="inlineStr">
        <is>
          <t>Regression</t>
        </is>
      </c>
      <c r="E110" s="10" t="inlineStr">
        <is>
          <t>IMPORT / ROSTER WRITES</t>
        </is>
      </c>
      <c r="F110" s="10" t="inlineStr">
        <is>
          <t>Jersey and position values saved correctly after import.</t>
        </is>
      </c>
      <c r="G110" s="10" t="inlineStr"/>
      <c r="H110" s="10" t="inlineStr"/>
      <c r="I110" s="10" t="inlineStr"/>
      <c r="J110" s="10" t="inlineStr"/>
      <c r="K110" s="10" t="inlineStr"/>
      <c r="L110" s="10" t="inlineStr"/>
      <c r="M110" s="10" t="inlineStr"/>
    </row>
    <row r="111">
      <c r="A111" s="10" t="n">
        <v>8</v>
      </c>
      <c r="B111" s="10" t="inlineStr">
        <is>
          <t>REGRESSION CHECKLIST (run on the NEW build)</t>
        </is>
      </c>
      <c r="C111" s="10" t="inlineStr">
        <is>
          <t>8.6</t>
        </is>
      </c>
      <c r="D111" s="10" t="inlineStr">
        <is>
          <t>Regression</t>
        </is>
      </c>
      <c r="E111" s="10" t="inlineStr">
        <is>
          <t>IMPORT / ROSTER WRITES</t>
        </is>
      </c>
      <c r="F111" s="10" t="inlineStr">
        <is>
          <t>Season roster sync: a player added to a team with a season shows in that season's roster / RSVP list.</t>
        </is>
      </c>
      <c r="G111" s="10" t="inlineStr"/>
      <c r="H111" s="10" t="inlineStr"/>
      <c r="I111" s="10" t="inlineStr"/>
      <c r="J111" s="10" t="inlineStr"/>
      <c r="K111" s="10" t="inlineStr"/>
      <c r="L111" s="10" t="inlineStr"/>
      <c r="M111" s="10" t="inlineStr"/>
    </row>
    <row r="112">
      <c r="A112" s="10" t="n">
        <v>8</v>
      </c>
      <c r="B112" s="10" t="inlineStr">
        <is>
          <t>REGRESSION CHECKLIST (run on the NEW build)</t>
        </is>
      </c>
      <c r="C112" s="10" t="inlineStr">
        <is>
          <t>8.7</t>
        </is>
      </c>
      <c r="D112" s="10" t="inlineStr">
        <is>
          <t>Regression</t>
        </is>
      </c>
      <c r="E112" s="10" t="inlineStr">
        <is>
          <t>IMPORT / ROSTER WRITES</t>
        </is>
      </c>
      <c r="F112" s="10" t="inlineStr">
        <is>
          <t>Portal invites: sent once, no duplicates, none to players already on the roster.</t>
        </is>
      </c>
      <c r="G112" s="10" t="inlineStr"/>
      <c r="H112" s="10" t="inlineStr"/>
      <c r="I112" s="10" t="inlineStr"/>
      <c r="J112" s="10" t="inlineStr"/>
      <c r="K112" s="10" t="inlineStr"/>
      <c r="L112" s="10" t="inlineStr"/>
      <c r="M112" s="10" t="inlineStr"/>
    </row>
    <row r="113">
      <c r="A113" s="10" t="n">
        <v>8</v>
      </c>
      <c r="B113" s="10" t="inlineStr">
        <is>
          <t>REGRESSION CHECKLIST (run on the NEW build)</t>
        </is>
      </c>
      <c r="C113" s="10" t="inlineStr">
        <is>
          <t>8.8</t>
        </is>
      </c>
      <c r="D113" s="10" t="inlineStr">
        <is>
          <t>Regression</t>
        </is>
      </c>
      <c r="E113" s="10" t="inlineStr">
        <is>
          <t>REGISTRATIONS</t>
        </is>
      </c>
      <c r="F113" s="10" t="inlineStr">
        <is>
          <t>Dismiss a registration; Simulate QR Reg; Export CSV; Show QR; Share.</t>
        </is>
      </c>
      <c r="G113" s="10" t="inlineStr"/>
      <c r="H113" s="10" t="inlineStr"/>
      <c r="I113" s="10" t="inlineStr"/>
      <c r="J113" s="10" t="inlineStr"/>
      <c r="K113" s="10" t="inlineStr"/>
      <c r="L113" s="10" t="inlineStr"/>
      <c r="M113" s="10" t="inlineStr"/>
    </row>
    <row r="114">
      <c r="A114" s="10" t="n">
        <v>8</v>
      </c>
      <c r="B114" s="10" t="inlineStr">
        <is>
          <t>REGRESSION CHECKLIST (run on the NEW build)</t>
        </is>
      </c>
      <c r="C114" s="10" t="inlineStr">
        <is>
          <t>8.9</t>
        </is>
      </c>
      <c r="D114" s="10" t="inlineStr">
        <is>
          <t>Regression</t>
        </is>
      </c>
      <c r="E114" s="10" t="inlineStr">
        <is>
          <t>REGISTRATIONS</t>
        </is>
      </c>
      <c r="F114" s="10" t="inlineStr">
        <is>
          <t>Dummy Data / Clear Dummy Data still work.</t>
        </is>
      </c>
      <c r="G114" s="10" t="inlineStr"/>
      <c r="H114" s="10" t="inlineStr"/>
      <c r="I114" s="10" t="inlineStr"/>
      <c r="J114" s="10" t="inlineStr"/>
      <c r="K114" s="10" t="inlineStr"/>
      <c r="L114" s="10" t="inlineStr"/>
      <c r="M114" s="10" t="inlineStr"/>
    </row>
    <row r="115">
      <c r="A115" s="10" t="n">
        <v>8</v>
      </c>
      <c r="B115" s="10" t="inlineStr">
        <is>
          <t>REGRESSION CHECKLIST (run on the NEW build)</t>
        </is>
      </c>
      <c r="C115" s="10" t="inlineStr">
        <is>
          <t>8.10</t>
        </is>
      </c>
      <c r="D115" s="10" t="inlineStr">
        <is>
          <t>Regression</t>
        </is>
      </c>
      <c r="E115" s="10" t="inlineStr">
        <is>
          <t>REGISTRATIONS</t>
        </is>
      </c>
      <c r="F115" s="10" t="inlineStr">
        <is>
          <t>Tabs Pending / All / Dismissed switch correctly and the Pending badge is accurate.</t>
        </is>
      </c>
      <c r="G115" s="10" t="inlineStr"/>
      <c r="H115" s="10" t="inlineStr"/>
      <c r="I115" s="10" t="inlineStr"/>
      <c r="J115" s="10" t="inlineStr"/>
      <c r="K115" s="10" t="inlineStr"/>
      <c r="L115" s="10" t="inlineStr"/>
      <c r="M115" s="10" t="inlineStr"/>
    </row>
    <row r="116">
      <c r="A116" s="10" t="n">
        <v>8</v>
      </c>
      <c r="B116" s="10" t="inlineStr">
        <is>
          <t>REGRESSION CHECKLIST (run on the NEW build)</t>
        </is>
      </c>
      <c r="C116" s="10" t="inlineStr">
        <is>
          <t>8.11</t>
        </is>
      </c>
      <c r="D116" s="10" t="inlineStr">
        <is>
          <t>Regression</t>
        </is>
      </c>
      <c r="E116" s="10" t="inlineStr">
        <is>
          <t>CACHES / REFRESH</t>
        </is>
      </c>
      <c r="F116" s="10" t="inlineStr">
        <is>
          <t>After any add/delete: team roster, player count badge, dashboard evaluation count, Regs badge all update without pull-to-refresh.</t>
        </is>
      </c>
      <c r="G116" s="10" t="inlineStr"/>
      <c r="H116" s="10" t="inlineStr"/>
      <c r="I116" s="10" t="inlineStr"/>
      <c r="J116" s="10" t="inlineStr"/>
      <c r="K116" s="10" t="inlineStr"/>
      <c r="L116" s="10" t="inlineStr"/>
      <c r="M116" s="10" t="inlineStr"/>
    </row>
    <row r="117">
      <c r="A117" s="10" t="n">
        <v>8</v>
      </c>
      <c r="B117" s="10" t="inlineStr">
        <is>
          <t>REGRESSION CHECKLIST (run on the NEW build)</t>
        </is>
      </c>
      <c r="C117" s="10" t="inlineStr">
        <is>
          <t>8.12</t>
        </is>
      </c>
      <c r="D117" s="10" t="inlineStr">
        <is>
          <t>Regression</t>
        </is>
      </c>
      <c r="E117" s="10" t="inlineStr">
        <is>
          <t>CACHES / REFRESH</t>
        </is>
      </c>
      <c r="F117" s="10" t="inlineStr">
        <is>
          <t>The friend-package picker / Team Builder still opens and lists the roster correctly after roster changes.</t>
        </is>
      </c>
      <c r="G117" s="10" t="inlineStr"/>
      <c r="H117" s="10" t="inlineStr"/>
      <c r="I117" s="10" t="inlineStr"/>
      <c r="J117" s="10" t="inlineStr"/>
      <c r="K117" s="10" t="inlineStr"/>
      <c r="L117" s="10" t="inlineStr"/>
      <c r="M117" s="10" t="inlineStr"/>
    </row>
    <row r="118">
      <c r="A118" s="10" t="n">
        <v>8</v>
      </c>
      <c r="B118" s="10" t="inlineStr">
        <is>
          <t>REGRESSION CHECKLIST (run on the NEW build)</t>
        </is>
      </c>
      <c r="C118" s="10" t="inlineStr">
        <is>
          <t>8.13</t>
        </is>
      </c>
      <c r="D118" s="10" t="inlineStr">
        <is>
          <t>Regression</t>
        </is>
      </c>
      <c r="E118" s="10" t="inlineStr">
        <is>
          <t>DASHBOARD</t>
        </is>
      </c>
      <c r="F118" s="10" t="inlineStr">
        <is>
          <t>Combine Mode, Archived toggle, New Evaluation button.</t>
        </is>
      </c>
      <c r="G118" s="10" t="inlineStr"/>
      <c r="H118" s="10" t="inlineStr"/>
      <c r="I118" s="10" t="inlineStr"/>
      <c r="J118" s="10" t="inlineStr"/>
      <c r="K118" s="10" t="inlineStr"/>
      <c r="L118" s="10" t="inlineStr"/>
      <c r="M118" s="10" t="inlineStr"/>
    </row>
    <row r="119">
      <c r="A119" s="10" t="n">
        <v>8</v>
      </c>
      <c r="B119" s="10" t="inlineStr">
        <is>
          <t>REGRESSION CHECKLIST (run on the NEW build)</t>
        </is>
      </c>
      <c r="C119" s="10" t="inlineStr">
        <is>
          <t>8.14</t>
        </is>
      </c>
      <c r="D119" s="10" t="inlineStr">
        <is>
          <t>Regression</t>
        </is>
      </c>
      <c r="E119" s="10" t="inlineStr">
        <is>
          <t>DASHBOARD</t>
        </is>
      </c>
      <c r="F119" s="10" t="inlineStr">
        <is>
          <t>Team tiles: open team, delete team confirmation.</t>
        </is>
      </c>
      <c r="G119" s="10" t="inlineStr"/>
      <c r="H119" s="10" t="inlineStr"/>
      <c r="I119" s="10" t="inlineStr"/>
      <c r="J119" s="10" t="inlineStr"/>
      <c r="K119" s="10" t="inlineStr"/>
      <c r="L119" s="10" t="inlineStr"/>
      <c r="M119" s="10" t="inlineStr"/>
    </row>
    <row r="120">
      <c r="A120" s="10" t="n">
        <v>8</v>
      </c>
      <c r="B120" s="10" t="inlineStr">
        <is>
          <t>REGRESSION CHECKLIST (run on the NEW build)</t>
        </is>
      </c>
      <c r="C120" s="10" t="inlineStr">
        <is>
          <t>8.15</t>
        </is>
      </c>
      <c r="D120" s="10" t="inlineStr">
        <is>
          <t>Regression</t>
        </is>
      </c>
      <c r="E120" s="10" t="inlineStr">
        <is>
          <t>DASHBOARD</t>
        </is>
      </c>
      <c r="F120" s="10" t="inlineStr">
        <is>
          <t>Guardian view ("My Athletes") unaffected.</t>
        </is>
      </c>
      <c r="G120" s="10" t="inlineStr"/>
      <c r="H120" s="10" t="inlineStr"/>
      <c r="I120" s="10" t="inlineStr"/>
      <c r="J120" s="10" t="inlineStr"/>
      <c r="K120" s="10" t="inlineStr"/>
      <c r="L120" s="10" t="inlineStr"/>
      <c r="M120" s="10" t="inlineStr"/>
    </row>
    <row r="121">
      <c r="A121" s="10" t="n">
        <v>8</v>
      </c>
      <c r="B121" s="10" t="inlineStr">
        <is>
          <t>REGRESSION CHECKLIST (run on the NEW build)</t>
        </is>
      </c>
      <c r="C121" s="10" t="inlineStr">
        <is>
          <t>8.16</t>
        </is>
      </c>
      <c r="D121" s="10" t="inlineStr">
        <is>
          <t>Regression</t>
        </is>
      </c>
      <c r="E121" s="10" t="inlineStr">
        <is>
          <t>LAYOUT / PLATFORM</t>
        </is>
      </c>
      <c r="F121" s="10" t="inlineStr">
        <is>
          <t>iPhone: no visual change on Profile or other scroll screens.</t>
        </is>
      </c>
      <c r="G121" s="10" t="inlineStr"/>
      <c r="H121" s="10" t="inlineStr"/>
      <c r="I121" s="10" t="inlineStr"/>
      <c r="J121" s="10" t="inlineStr"/>
      <c r="K121" s="10" t="inlineStr"/>
      <c r="L121" s="10" t="inlineStr"/>
      <c r="M121" s="10" t="inlineStr"/>
    </row>
    <row r="122">
      <c r="A122" s="10" t="n">
        <v>8</v>
      </c>
      <c r="B122" s="10" t="inlineStr">
        <is>
          <t>REGRESSION CHECKLIST (run on the NEW build)</t>
        </is>
      </c>
      <c r="C122" s="10" t="inlineStr">
        <is>
          <t>8.17</t>
        </is>
      </c>
      <c r="D122" s="10" t="inlineStr">
        <is>
          <t>Regression</t>
        </is>
      </c>
      <c r="E122" s="10" t="inlineStr">
        <is>
          <t>LAYOUT / PLATFORM</t>
        </is>
      </c>
      <c r="F122" s="10" t="inlineStr">
        <is>
          <t>Android 3-button + gesture: long forms end with the last button visible; keyboard open on forms does not hide the Save button or leave a big gap.</t>
        </is>
      </c>
      <c r="G122" s="10" t="inlineStr"/>
      <c r="H122" s="10" t="inlineStr"/>
      <c r="I122" s="10" t="inlineStr"/>
      <c r="J122" s="10" t="inlineStr"/>
      <c r="K122" s="10" t="inlineStr"/>
      <c r="L122" s="10" t="inlineStr"/>
      <c r="M122" s="10" t="inlineStr"/>
    </row>
    <row r="123">
      <c r="A123" s="10" t="n">
        <v>8</v>
      </c>
      <c r="B123" s="10" t="inlineStr">
        <is>
          <t>REGRESSION CHECKLIST (run on the NEW build)</t>
        </is>
      </c>
      <c r="C123" s="10" t="inlineStr">
        <is>
          <t>8.18</t>
        </is>
      </c>
      <c r="D123" s="10" t="inlineStr">
        <is>
          <t>Regression</t>
        </is>
      </c>
      <c r="E123" s="10" t="inlineStr">
        <is>
          <t>LAYOUT / PLATFORM</t>
        </is>
      </c>
      <c r="F123" s="10" t="inlineStr">
        <is>
          <t>Dark and light mode: new checkboxes, pencil icon, bottom bar and toolbar are readable in both.</t>
        </is>
      </c>
      <c r="G123" s="10" t="inlineStr"/>
      <c r="H123" s="10" t="inlineStr"/>
      <c r="I123" s="10" t="inlineStr"/>
      <c r="J123" s="10" t="inlineStr"/>
      <c r="K123" s="10" t="inlineStr"/>
      <c r="L123" s="10" t="inlineStr"/>
      <c r="M123" s="10" t="inlineStr"/>
    </row>
    <row r="124">
      <c r="A124" s="10" t="n">
        <v>8</v>
      </c>
      <c r="B124" s="10" t="inlineStr">
        <is>
          <t>REGRESSION CHECKLIST (run on the NEW build)</t>
        </is>
      </c>
      <c r="C124" s="10" t="inlineStr">
        <is>
          <t>8.19</t>
        </is>
      </c>
      <c r="D124" s="10" t="inlineStr">
        <is>
          <t>Regression</t>
        </is>
      </c>
      <c r="E124" s="10" t="inlineStr">
        <is>
          <t>LAYOUT / PLATFORM</t>
        </is>
      </c>
      <c r="F124" s="10" t="inlineStr">
        <is>
          <t>Screens with a native header / team-colour background look unchanged.</t>
        </is>
      </c>
      <c r="G124" s="10" t="inlineStr"/>
      <c r="H124" s="10" t="inlineStr"/>
      <c r="I124" s="10" t="inlineStr"/>
      <c r="J124" s="10" t="inlineStr"/>
      <c r="K124" s="10" t="inlineStr"/>
      <c r="L124" s="10" t="inlineStr"/>
      <c r="M124" s="10" t="inlineStr"/>
    </row>
    <row r="125">
      <c r="A125" s="10" t="n">
        <v>8</v>
      </c>
      <c r="B125" s="10" t="inlineStr">
        <is>
          <t>REGRESSION CHECKLIST (run on the NEW build)</t>
        </is>
      </c>
      <c r="C125" s="10" t="inlineStr">
        <is>
          <t>8.20</t>
        </is>
      </c>
      <c r="D125" s="10" t="inlineStr">
        <is>
          <t>Regression</t>
        </is>
      </c>
      <c r="E125" s="10" t="inlineStr">
        <is>
          <t>LAYOUT / PLATFORM</t>
        </is>
      </c>
      <c r="F125" s="10" t="inlineStr">
        <is>
          <t>Screens too short to scroll do not become scrollable.</t>
        </is>
      </c>
      <c r="G125" s="10" t="inlineStr"/>
      <c r="H125" s="10" t="inlineStr"/>
      <c r="I125" s="10" t="inlineStr"/>
      <c r="J125" s="10" t="inlineStr"/>
      <c r="K125" s="10" t="inlineStr"/>
      <c r="L125" s="10" t="inlineStr"/>
      <c r="M125" s="10" t="inlineStr"/>
    </row>
    <row r="126">
      <c r="A126" s="10" t="n">
        <v>8</v>
      </c>
      <c r="B126" s="10" t="inlineStr">
        <is>
          <t>REGRESSION CHECKLIST (run on the NEW build)</t>
        </is>
      </c>
      <c r="C126" s="10" t="inlineStr">
        <is>
          <t>8.21</t>
        </is>
      </c>
      <c r="D126" s="10" t="inlineStr">
        <is>
          <t>Regression</t>
        </is>
      </c>
      <c r="E126" s="10" t="inlineStr">
        <is>
          <t>PERFORMANCE</t>
        </is>
      </c>
      <c r="F126" s="10" t="inlineStr">
        <is>
          <t>Team with 999 players: Players tab scrolls smoothly, Select mode does not lag, Select All responds instantly.</t>
        </is>
      </c>
      <c r="G126" s="10" t="inlineStr"/>
      <c r="H126" s="10" t="inlineStr"/>
      <c r="I126" s="10" t="inlineStr"/>
      <c r="J126" s="10" t="inlineStr"/>
      <c r="K126" s="10" t="inlineStr"/>
      <c r="L126" s="10" t="inlineStr"/>
      <c r="M126" s="10" t="inlineStr"/>
    </row>
    <row r="127">
      <c r="A127" s="10" t="n">
        <v>8</v>
      </c>
      <c r="B127" s="10" t="inlineStr">
        <is>
          <t>REGRESSION CHECKLIST (run on the NEW build)</t>
        </is>
      </c>
      <c r="C127" s="10" t="inlineStr">
        <is>
          <t>8.22</t>
        </is>
      </c>
      <c r="D127" s="10" t="inlineStr">
        <is>
          <t>Regression</t>
        </is>
      </c>
      <c r="E127" s="10" t="inlineStr">
        <is>
          <t>PERFORMANCE</t>
        </is>
      </c>
      <c r="F127" s="10" t="inlineStr">
        <is>
          <t>Evaluation with 941 players: roster list still smooth.</t>
        </is>
      </c>
      <c r="G127" s="10" t="inlineStr"/>
      <c r="H127" s="10" t="inlineStr"/>
      <c r="I127" s="10" t="inlineStr"/>
      <c r="J127" s="10" t="inlineStr"/>
      <c r="K127" s="10" t="inlineStr"/>
      <c r="L127" s="10" t="inlineStr"/>
      <c r="M127" s="10" t="inlineStr"/>
    </row>
    <row r="128">
      <c r="A128" s="10" t="n">
        <v>8</v>
      </c>
      <c r="B128" s="10" t="inlineStr">
        <is>
          <t>REGRESSION CHECKLIST (run on the NEW build)</t>
        </is>
      </c>
      <c r="C128" s="10" t="inlineStr">
        <is>
          <t>8.23</t>
        </is>
      </c>
      <c r="D128" s="10" t="inlineStr">
        <is>
          <t>Regression</t>
        </is>
      </c>
      <c r="E128" s="10" t="inlineStr">
        <is>
          <t>GENERAL</t>
        </is>
      </c>
      <c r="F128" s="10" t="inlineStr">
        <is>
          <t>Login / logout / delete-account flow end to end.</t>
        </is>
      </c>
      <c r="G128" s="10" t="inlineStr"/>
      <c r="H128" s="10" t="inlineStr"/>
      <c r="I128" s="10" t="inlineStr"/>
      <c r="J128" s="10" t="inlineStr"/>
      <c r="K128" s="10" t="inlineStr"/>
      <c r="L128" s="10" t="inlineStr"/>
      <c r="M128" s="10" t="inlineStr"/>
    </row>
    <row r="129">
      <c r="A129" s="10" t="n">
        <v>8</v>
      </c>
      <c r="B129" s="10" t="inlineStr">
        <is>
          <t>REGRESSION CHECKLIST (run on the NEW build)</t>
        </is>
      </c>
      <c r="C129" s="10" t="inlineStr">
        <is>
          <t>8.24</t>
        </is>
      </c>
      <c r="D129" s="10" t="inlineStr">
        <is>
          <t>Regression</t>
        </is>
      </c>
      <c r="E129" s="10" t="inlineStr">
        <is>
          <t>GENERAL</t>
        </is>
      </c>
      <c r="F129" s="10" t="inlineStr">
        <is>
          <t>App cold start with no console red-screens; note any new yellow warnings vs the old build.</t>
        </is>
      </c>
      <c r="G129" s="10" t="inlineStr"/>
      <c r="H129" s="10" t="inlineStr"/>
      <c r="I129" s="10" t="inlineStr"/>
      <c r="J129" s="10" t="inlineStr"/>
      <c r="K129" s="10" t="inlineStr"/>
      <c r="L129" s="10" t="inlineStr"/>
      <c r="M129" s="10" t="inlineStr"/>
    </row>
    <row r="130">
      <c r="A130" s="10" t="n">
        <v>10</v>
      </c>
      <c r="B130" s="10" t="inlineStr">
        <is>
          <t>EVALUATION SHOWS ON THE WRONG PLACES (team vs standalone)  (HIGH)</t>
        </is>
      </c>
      <c r="C130" s="10" t="inlineStr">
        <is>
          <t>10.1</t>
        </is>
      </c>
      <c r="D130" s="10" t="inlineStr">
        <is>
          <t>Before</t>
        </is>
      </c>
      <c r="E130" s="10" t="inlineStr">
        <is>
          <t>BEFORE (old build)</t>
        </is>
      </c>
      <c r="F130" s="10" t="inlineStr">
        <is>
          <t>Create evaluation "Volleyball sort out 1" with NO team chip. Home list: shows it.</t>
        </is>
      </c>
      <c r="G130" s="10" t="inlineStr"/>
      <c r="H130" s="10" t="inlineStr"/>
      <c r="I130" s="10" t="inlineStr"/>
      <c r="J130" s="10" t="inlineStr"/>
      <c r="K130" s="10" t="inlineStr"/>
      <c r="L130" s="10" t="inlineStr"/>
      <c r="M130" s="10" t="inlineStr"/>
    </row>
    <row r="131">
      <c r="A131" s="10" t="n">
        <v>10</v>
      </c>
      <c r="B131" s="10" t="inlineStr">
        <is>
          <t>EVALUATION SHOWS ON THE WRONG PLACES (team vs standalone)  (HIGH)</t>
        </is>
      </c>
      <c r="C131" s="10" t="inlineStr">
        <is>
          <t>10.2</t>
        </is>
      </c>
      <c r="D131" s="10" t="inlineStr">
        <is>
          <t>Before</t>
        </is>
      </c>
      <c r="E131" s="10" t="inlineStr">
        <is>
          <t>BEFORE (old build)</t>
        </is>
      </c>
      <c r="F131" s="10" t="inlineStr">
        <is>
          <t>Create a NEW team afterwards. Open team &gt; Evaluations tab. Expected (bug per Shawn): the evaluation is listed / counted. Note the badge count and list.</t>
        </is>
      </c>
      <c r="G131" s="10" t="inlineStr"/>
      <c r="H131" s="10" t="inlineStr"/>
      <c r="I131" s="10" t="inlineStr"/>
      <c r="J131" s="10" t="inlineStr"/>
      <c r="K131" s="10" t="inlineStr"/>
      <c r="L131" s="10" t="inlineStr"/>
      <c r="M131" s="10" t="inlineStr"/>
    </row>
    <row r="132">
      <c r="A132" s="10" t="n">
        <v>10</v>
      </c>
      <c r="B132" s="10" t="inlineStr">
        <is>
          <t>EVALUATION SHOWS ON THE WRONG PLACES (team vs standalone)  (HIGH)</t>
        </is>
      </c>
      <c r="C132" s="10" t="inlineStr">
        <is>
          <t>10.3</t>
        </is>
      </c>
      <c r="D132" s="10" t="inlineStr">
        <is>
          <t>Before</t>
        </is>
      </c>
      <c r="E132" s="10" t="inlineStr">
        <is>
          <t>BEFORE (old build)</t>
        </is>
      </c>
      <c r="F132" s="10" t="inlineStr">
        <is>
          <t>Same team &gt; Players &gt; "Add Players from Evaluations": note whether the evaluation and its players are offered.</t>
        </is>
      </c>
      <c r="G132" s="10" t="inlineStr"/>
      <c r="H132" s="10" t="inlineStr"/>
      <c r="I132" s="10" t="inlineStr"/>
      <c r="J132" s="10" t="inlineStr"/>
      <c r="K132" s="10" t="inlineStr"/>
      <c r="L132" s="10" t="inlineStr"/>
      <c r="M132" s="10" t="inlineStr"/>
    </row>
    <row r="133">
      <c r="A133" s="10" t="n">
        <v>10</v>
      </c>
      <c r="B133" s="10" t="inlineStr">
        <is>
          <t>EVALUATION SHOWS ON THE WRONG PLACES (team vs standalone)  (HIGH)</t>
        </is>
      </c>
      <c r="C133" s="10" t="inlineStr">
        <is>
          <t>10.4</t>
        </is>
      </c>
      <c r="D133" s="10" t="inlineStr">
        <is>
          <t>Before</t>
        </is>
      </c>
      <c r="E133" s="10" t="inlineStr">
        <is>
          <t>BEFORE (old build)</t>
        </is>
      </c>
      <c r="F133" s="10" t="inlineStr">
        <is>
          <t>Create an evaluation FROM the team (Team &gt; Evaluations &gt; Create). Check the home list. Expected (bug): it ALSO shows in the home Evaluations list.</t>
        </is>
      </c>
      <c r="G133" s="10" t="inlineStr"/>
      <c r="H133" s="10" t="inlineStr"/>
      <c r="I133" s="10" t="inlineStr"/>
      <c r="J133" s="10" t="inlineStr"/>
      <c r="K133" s="10" t="inlineStr"/>
      <c r="L133" s="10" t="inlineStr"/>
      <c r="M133" s="10" t="inlineStr"/>
    </row>
    <row r="134">
      <c r="A134" s="10" t="n">
        <v>10</v>
      </c>
      <c r="B134" s="10" t="inlineStr">
        <is>
          <t>EVALUATION SHOWS ON THE WRONG PLACES (team vs standalone)  (HIGH)</t>
        </is>
      </c>
      <c r="C134" s="10" t="inlineStr">
        <is>
          <t>10.5</t>
        </is>
      </c>
      <c r="D134" s="10" t="inlineStr">
        <is>
          <t>Before</t>
        </is>
      </c>
      <c r="E134" s="10" t="inlineStr">
        <is>
          <t>BEFORE (old build)</t>
        </is>
      </c>
      <c r="F134" s="10" t="inlineStr">
        <is>
          <t>Create evaluation with the "Team (optional)" chip selected. Check home list and team tab. Expected (bug): shows in both.</t>
        </is>
      </c>
      <c r="G134" s="10" t="inlineStr"/>
      <c r="H134" s="10" t="inlineStr"/>
      <c r="I134" s="10" t="inlineStr"/>
      <c r="J134" s="10" t="inlineStr"/>
      <c r="K134" s="10" t="inlineStr"/>
      <c r="L134" s="10" t="inlineStr"/>
      <c r="M134" s="10" t="inlineStr"/>
    </row>
    <row r="135">
      <c r="A135" s="10" t="n">
        <v>10</v>
      </c>
      <c r="B135" s="10" t="inlineStr">
        <is>
          <t>EVALUATION SHOWS ON THE WRONG PLACES (team vs standalone)  (HIGH)</t>
        </is>
      </c>
      <c r="C135" s="10" t="inlineStr">
        <is>
          <t>10.6</t>
        </is>
      </c>
      <c r="D135" s="10" t="inlineStr">
        <is>
          <t>Before</t>
        </is>
      </c>
      <c r="E135" s="10" t="inlineStr">
        <is>
          <t>BEFORE (old build)</t>
        </is>
      </c>
      <c r="F135" s="10" t="inlineStr">
        <is>
          <t>Home "Evaluations" jump tile number vs list length.</t>
        </is>
      </c>
      <c r="G135" s="10" t="inlineStr"/>
      <c r="H135" s="10" t="inlineStr"/>
      <c r="I135" s="10" t="inlineStr"/>
      <c r="J135" s="10" t="inlineStr"/>
      <c r="K135" s="10" t="inlineStr"/>
      <c r="L135" s="10" t="inlineStr"/>
      <c r="M135" s="10" t="inlineStr"/>
    </row>
    <row r="136">
      <c r="A136" s="10" t="n">
        <v>10</v>
      </c>
      <c r="B136" s="10" t="inlineStr">
        <is>
          <t>EVALUATION SHOWS ON THE WRONG PLACES (team vs standalone)  (HIGH)</t>
        </is>
      </c>
      <c r="C136" s="10" t="inlineStr">
        <is>
          <t>10.7</t>
        </is>
      </c>
      <c r="D136" s="10" t="inlineStr">
        <is>
          <t>After</t>
        </is>
      </c>
      <c r="E136" s="10" t="inlineStr">
        <is>
          <t>AFTER (expected)</t>
        </is>
      </c>
      <c r="F136" s="10" t="inlineStr">
        <is>
          <t>Standalone evaluation: in home list; NOT in any team's Evaluations tab; team badge unchanged.</t>
        </is>
      </c>
      <c r="G136" s="10" t="inlineStr"/>
      <c r="H136" s="10" t="inlineStr"/>
      <c r="I136" s="10" t="inlineStr"/>
      <c r="J136" s="10" t="inlineStr"/>
      <c r="K136" s="10" t="inlineStr"/>
      <c r="L136" s="10" t="inlineStr"/>
      <c r="M136" s="10" t="inlineStr"/>
    </row>
    <row r="137">
      <c r="A137" s="10" t="n">
        <v>10</v>
      </c>
      <c r="B137" s="10" t="inlineStr">
        <is>
          <t>EVALUATION SHOWS ON THE WRONG PLACES (team vs standalone)  (HIGH)</t>
        </is>
      </c>
      <c r="C137" s="10" t="inlineStr">
        <is>
          <t>10.8</t>
        </is>
      </c>
      <c r="D137" s="10" t="inlineStr">
        <is>
          <t>After</t>
        </is>
      </c>
      <c r="E137" s="10" t="inlineStr">
        <is>
          <t>AFTER (expected)</t>
        </is>
      </c>
      <c r="F137" s="10" t="inlineStr">
        <is>
          <t>Create a new team after that: team Evaluations tab is EMPTY ("No evaluations linked"), badge 0.</t>
        </is>
      </c>
      <c r="G137" s="10" t="inlineStr"/>
      <c r="H137" s="10" t="inlineStr"/>
      <c r="I137" s="10" t="inlineStr"/>
      <c r="J137" s="10" t="inlineStr"/>
      <c r="K137" s="10" t="inlineStr"/>
      <c r="L137" s="10" t="inlineStr"/>
      <c r="M137" s="10" t="inlineStr"/>
    </row>
    <row r="138">
      <c r="A138" s="10" t="n">
        <v>10</v>
      </c>
      <c r="B138" s="10" t="inlineStr">
        <is>
          <t>EVALUATION SHOWS ON THE WRONG PLACES (team vs standalone)  (HIGH)</t>
        </is>
      </c>
      <c r="C138" s="10" t="inlineStr">
        <is>
          <t>10.9</t>
        </is>
      </c>
      <c r="D138" s="10" t="inlineStr">
        <is>
          <t>After</t>
        </is>
      </c>
      <c r="E138" s="10" t="inlineStr">
        <is>
          <t>AFTER (expected)</t>
        </is>
      </c>
      <c r="F138" s="10" t="inlineStr">
        <is>
          <t>Evaluation created from a team (Create button): appears on that team's tab, badge +1; does NOT appear in the home list. (Team-linked "Hello" gone from home, still on its team: verified in simulator; creating a NEW one not yet run.)</t>
        </is>
      </c>
      <c r="G138" s="10" t="inlineStr">
        <is>
          <t>Yes</t>
        </is>
      </c>
      <c r="H138" s="10" t="inlineStr"/>
      <c r="I138" s="10" t="inlineStr"/>
      <c r="J138" s="10" t="inlineStr"/>
      <c r="K138" s="10" t="inlineStr"/>
      <c r="L138" s="10" t="inlineStr"/>
      <c r="M138" s="10" t="inlineStr"/>
    </row>
    <row r="139">
      <c r="A139" s="10" t="n">
        <v>10</v>
      </c>
      <c r="B139" s="10" t="inlineStr">
        <is>
          <t>EVALUATION SHOWS ON THE WRONG PLACES (team vs standalone)  (HIGH)</t>
        </is>
      </c>
      <c r="C139" s="10" t="inlineStr">
        <is>
          <t>10.10</t>
        </is>
      </c>
      <c r="D139" s="10" t="inlineStr">
        <is>
          <t>After</t>
        </is>
      </c>
      <c r="E139" s="10" t="inlineStr">
        <is>
          <t>AFTER (expected)</t>
        </is>
      </c>
      <c r="F139" s="10" t="inlineStr">
        <is>
          <t>Evaluation created with the Team chip: same as 10.9.</t>
        </is>
      </c>
      <c r="G139" s="10" t="inlineStr"/>
      <c r="H139" s="10" t="inlineStr"/>
      <c r="I139" s="10" t="inlineStr"/>
      <c r="J139" s="10" t="inlineStr"/>
      <c r="K139" s="10" t="inlineStr"/>
      <c r="L139" s="10" t="inlineStr"/>
      <c r="M139" s="10" t="inlineStr"/>
    </row>
    <row r="140">
      <c r="A140" s="10" t="n">
        <v>10</v>
      </c>
      <c r="B140" s="10" t="inlineStr">
        <is>
          <t>EVALUATION SHOWS ON THE WRONG PLACES (team vs standalone)  (HIGH)</t>
        </is>
      </c>
      <c r="C140" s="10" t="inlineStr">
        <is>
          <t>10.11</t>
        </is>
      </c>
      <c r="D140" s="10" t="inlineStr">
        <is>
          <t>After</t>
        </is>
      </c>
      <c r="E140" s="10" t="inlineStr">
        <is>
          <t>AFTER (expected)</t>
        </is>
      </c>
      <c r="F140" s="10" t="inlineStr">
        <is>
          <t>Two teams A and B: evaluation for A shows only on A, never on B.</t>
        </is>
      </c>
      <c r="G140" s="10" t="inlineStr"/>
      <c r="H140" s="10" t="inlineStr"/>
      <c r="I140" s="10" t="inlineStr"/>
      <c r="J140" s="10" t="inlineStr"/>
      <c r="K140" s="10" t="inlineStr"/>
      <c r="L140" s="10" t="inlineStr"/>
      <c r="M140" s="10" t="inlineStr"/>
    </row>
    <row r="141">
      <c r="A141" s="10" t="n">
        <v>10</v>
      </c>
      <c r="B141" s="10" t="inlineStr">
        <is>
          <t>EVALUATION SHOWS ON THE WRONG PLACES (team vs standalone)  (HIGH)</t>
        </is>
      </c>
      <c r="C141" s="10" t="inlineStr">
        <is>
          <t>10.12</t>
        </is>
      </c>
      <c r="D141" s="10" t="inlineStr">
        <is>
          <t>After</t>
        </is>
      </c>
      <c r="E141" s="10" t="inlineStr">
        <is>
          <t>AFTER (expected)</t>
        </is>
      </c>
      <c r="F141" s="10" t="inlineStr">
        <is>
          <t>"Attach Existing" on team A: pick a standalone evaluation -&gt; it appears on A and disappears from the home list.</t>
        </is>
      </c>
      <c r="G141" s="10" t="inlineStr"/>
      <c r="H141" s="10" t="inlineStr"/>
      <c r="I141" s="10" t="inlineStr"/>
      <c r="J141" s="10" t="inlineStr"/>
      <c r="K141" s="10" t="inlineStr"/>
      <c r="L141" s="10" t="inlineStr"/>
      <c r="M141" s="10" t="inlineStr"/>
    </row>
    <row r="142">
      <c r="A142" s="10" t="n">
        <v>10</v>
      </c>
      <c r="B142" s="10" t="inlineStr">
        <is>
          <t>EVALUATION SHOWS ON THE WRONG PLACES (team vs standalone)  (HIGH)</t>
        </is>
      </c>
      <c r="C142" s="10" t="inlineStr">
        <is>
          <t>10.13</t>
        </is>
      </c>
      <c r="D142" s="10" t="inlineStr">
        <is>
          <t>After</t>
        </is>
      </c>
      <c r="E142" s="10" t="inlineStr">
        <is>
          <t>AFTER (expected)</t>
        </is>
      </c>
      <c r="F142" s="10" t="inlineStr">
        <is>
          <t>Attach Existing modal lists ONLY standalone evaluations (not ones already on another team).</t>
        </is>
      </c>
      <c r="G142" s="10" t="inlineStr"/>
      <c r="H142" s="10" t="inlineStr"/>
      <c r="I142" s="10" t="inlineStr"/>
      <c r="J142" s="10" t="inlineStr"/>
      <c r="K142" s="10" t="inlineStr"/>
      <c r="L142" s="10" t="inlineStr"/>
      <c r="M142" s="10" t="inlineStr"/>
    </row>
    <row r="143">
      <c r="A143" s="10" t="n">
        <v>10</v>
      </c>
      <c r="B143" s="10" t="inlineStr">
        <is>
          <t>EVALUATION SHOWS ON THE WRONG PLACES (team vs standalone)  (HIGH)</t>
        </is>
      </c>
      <c r="C143" s="10" t="inlineStr">
        <is>
          <t>10.14</t>
        </is>
      </c>
      <c r="D143" s="10" t="inlineStr">
        <is>
          <t>After</t>
        </is>
      </c>
      <c r="E143" s="10" t="inlineStr">
        <is>
          <t>AFTER (expected)</t>
        </is>
      </c>
      <c r="F143" s="10" t="inlineStr">
        <is>
          <t>Home "Evaluations" tile count equals the number of rows in the home list (standalone only).</t>
        </is>
      </c>
      <c r="G143" s="10" t="inlineStr">
        <is>
          <t>Yes</t>
        </is>
      </c>
      <c r="H143" s="10" t="inlineStr"/>
      <c r="I143" s="10" t="inlineStr"/>
      <c r="J143" s="10" t="inlineStr"/>
      <c r="K143" s="10" t="inlineStr"/>
      <c r="L143" s="10" t="inlineStr"/>
      <c r="M143" s="10" t="inlineStr"/>
    </row>
    <row r="144">
      <c r="A144" s="10" t="n">
        <v>10</v>
      </c>
      <c r="B144" s="10" t="inlineStr">
        <is>
          <t>EVALUATION SHOWS ON THE WRONG PLACES (team vs standalone)  (HIGH)</t>
        </is>
      </c>
      <c r="C144" s="10" t="inlineStr">
        <is>
          <t>10.15</t>
        </is>
      </c>
      <c r="D144" s="10" t="inlineStr">
        <is>
          <t>After</t>
        </is>
      </c>
      <c r="E144" s="10" t="inlineStr">
        <is>
          <t>AFTER (expected)</t>
        </is>
      </c>
      <c r="F144" s="10" t="inlineStr">
        <is>
          <t>Open a team-linked evaluation from the team tab: opens normally (roster, regs, results, settings all work). (opened + Results verified in simulator)</t>
        </is>
      </c>
      <c r="G144" s="10" t="inlineStr">
        <is>
          <t>Yes</t>
        </is>
      </c>
      <c r="H144" s="10" t="inlineStr"/>
      <c r="I144" s="10" t="inlineStr"/>
      <c r="J144" s="10" t="inlineStr"/>
      <c r="K144" s="10" t="inlineStr"/>
      <c r="L144" s="10" t="inlineStr"/>
      <c r="M144" s="10" t="inlineStr"/>
    </row>
    <row r="145">
      <c r="A145" s="10" t="n">
        <v>10</v>
      </c>
      <c r="B145" s="10" t="inlineStr">
        <is>
          <t>EVALUATION SHOWS ON THE WRONG PLACES (team vs standalone)  (HIGH)</t>
        </is>
      </c>
      <c r="C145" s="10" t="inlineStr">
        <is>
          <t>10.16</t>
        </is>
      </c>
      <c r="D145" s="10" t="inlineStr">
        <is>
          <t>After</t>
        </is>
      </c>
      <c r="E145" s="10" t="inlineStr">
        <is>
          <t>AFTER (expected)</t>
        </is>
      </c>
      <c r="F145" s="10" t="inlineStr">
        <is>
          <t>Edit pencil (new tile edit) still works for standalone tiles.</t>
        </is>
      </c>
      <c r="G145" s="10" t="inlineStr"/>
      <c r="H145" s="10" t="inlineStr"/>
      <c r="I145" s="10" t="inlineStr"/>
      <c r="J145" s="10" t="inlineStr"/>
      <c r="K145" s="10" t="inlineStr"/>
      <c r="L145" s="10" t="inlineStr"/>
      <c r="M145" s="10" t="inlineStr"/>
    </row>
    <row r="146">
      <c r="A146" s="10" t="n">
        <v>10</v>
      </c>
      <c r="B146" s="10" t="inlineStr">
        <is>
          <t>EVALUATION SHOWS ON THE WRONG PLACES (team vs standalone)  (HIGH)</t>
        </is>
      </c>
      <c r="C146" s="10" t="inlineStr">
        <is>
          <t>10.17</t>
        </is>
      </c>
      <c r="D146" s="10" t="inlineStr">
        <is>
          <t>After</t>
        </is>
      </c>
      <c r="E146" s="10" t="inlineStr">
        <is>
          <t>AFTER (expected)</t>
        </is>
      </c>
      <c r="F146" s="10" t="inlineStr">
        <is>
          <t>Empty state: if every evaluation is team-linked, home list shows the "No evaluations yet" empty state, not a blank screen.</t>
        </is>
      </c>
      <c r="G146" s="10" t="inlineStr">
        <is>
          <t>Yes</t>
        </is>
      </c>
      <c r="H146" s="10" t="inlineStr"/>
      <c r="I146" s="10" t="inlineStr"/>
      <c r="J146" s="10" t="inlineStr"/>
      <c r="K146" s="10" t="inlineStr"/>
      <c r="L146" s="10" t="inlineStr"/>
      <c r="M146" s="10" t="inlineStr"/>
    </row>
    <row r="147">
      <c r="A147" s="10" t="n">
        <v>10</v>
      </c>
      <c r="B147" s="10" t="inlineStr">
        <is>
          <t>EVALUATION SHOWS ON THE WRONG PLACES (team vs standalone)  (HIGH)</t>
        </is>
      </c>
      <c r="C147" s="10" t="inlineStr">
        <is>
          <t>10.18</t>
        </is>
      </c>
      <c r="D147" s="10" t="inlineStr">
        <is>
          <t>After</t>
        </is>
      </c>
      <c r="E147" s="10" t="inlineStr">
        <is>
          <t>AFTER (expected)</t>
        </is>
      </c>
      <c r="F147" s="10" t="inlineStr">
        <is>
          <t>Team Builder / Results / Export for a team-linked evaluation still reachable from the team's tab.</t>
        </is>
      </c>
      <c r="G147" s="10" t="inlineStr"/>
      <c r="H147" s="10" t="inlineStr"/>
      <c r="I147" s="10" t="inlineStr"/>
      <c r="J147" s="10" t="inlineStr"/>
      <c r="K147" s="10" t="inlineStr"/>
      <c r="L147" s="10" t="inlineStr"/>
      <c r="M147" s="10" t="inlineStr"/>
    </row>
    <row r="148">
      <c r="A148" s="10" t="n">
        <v>10</v>
      </c>
      <c r="B148" s="10" t="inlineStr">
        <is>
          <t>EVALUATION SHOWS ON THE WRONG PLACES (team vs standalone)  (HIGH)</t>
        </is>
      </c>
      <c r="C148" s="10" t="inlineStr">
        <is>
          <t>10.19</t>
        </is>
      </c>
      <c r="D148" s="10" t="inlineStr">
        <is>
          <t>After</t>
        </is>
      </c>
      <c r="E148" s="10" t="inlineStr">
        <is>
          <t>AFTER (expected)</t>
        </is>
      </c>
      <c r="F148" s="10" t="inlineStr">
        <is>
          <t>Delete a team that owns evaluations: note where its evaluations go (today they detach and would reappear in the home list). Confirm the intended behaviour with Shawn.</t>
        </is>
      </c>
      <c r="G148" s="10" t="inlineStr"/>
      <c r="H148" s="10" t="inlineStr"/>
      <c r="I148" s="10" t="inlineStr"/>
      <c r="J148" s="10" t="inlineStr"/>
      <c r="K148" s="10" t="inlineStr"/>
      <c r="L148" s="10" t="inlineStr"/>
      <c r="M148" s="10" t="inlineStr"/>
    </row>
    <row r="149">
      <c r="A149" s="10" t="n">
        <v>10</v>
      </c>
      <c r="B149" s="10" t="inlineStr">
        <is>
          <t>EVALUATION SHOWS ON THE WRONG PLACES (team vs standalone)  (HIGH)</t>
        </is>
      </c>
      <c r="C149" s="10" t="inlineStr">
        <is>
          <t>10.20</t>
        </is>
      </c>
      <c r="D149" s="10" t="inlineStr">
        <is>
          <t>After</t>
        </is>
      </c>
      <c r="E149" s="10" t="inlineStr">
        <is>
          <t>AFTER (expected)</t>
        </is>
      </c>
      <c r="F149" s="10" t="inlineStr">
        <is>
          <t>Detach an evaluation from a team (if a control exists): it returns to the home list.</t>
        </is>
      </c>
      <c r="G149" s="10" t="inlineStr"/>
      <c r="H149" s="10" t="inlineStr"/>
      <c r="I149" s="10" t="inlineStr"/>
      <c r="J149" s="10" t="inlineStr"/>
      <c r="K149" s="10" t="inlineStr"/>
      <c r="L149" s="10" t="inlineStr"/>
      <c r="M149" s="10" t="inlineStr"/>
    </row>
    <row r="150">
      <c r="A150" s="10" t="n">
        <v>10</v>
      </c>
      <c r="B150" s="10" t="inlineStr">
        <is>
          <t>EVALUATION SHOWS ON THE WRONG PLACES (team vs standalone)  (HIGH)</t>
        </is>
      </c>
      <c r="C150" s="10" t="inlineStr">
        <is>
          <t>10.21</t>
        </is>
      </c>
      <c r="D150" s="10" t="inlineStr">
        <is>
          <t>After</t>
        </is>
      </c>
      <c r="E150" s="10" t="inlineStr">
        <is>
          <t>AFTER (expected)</t>
        </is>
      </c>
      <c r="F150" s="10" t="inlineStr">
        <is>
          <t>Archive a team-linked evaluation: it appears under the "Archived" view consistently (decide: archived list shows all or standalone only).</t>
        </is>
      </c>
      <c r="G150" s="10" t="inlineStr"/>
      <c r="H150" s="10" t="inlineStr"/>
      <c r="I150" s="10" t="inlineStr"/>
      <c r="J150" s="10" t="inlineStr"/>
      <c r="K150" s="10" t="inlineStr"/>
      <c r="L150" s="10" t="inlineStr"/>
      <c r="M150" s="10" t="inlineStr"/>
    </row>
    <row r="151">
      <c r="A151" s="10" t="n">
        <v>10</v>
      </c>
      <c r="B151" s="10" t="inlineStr">
        <is>
          <t>EVALUATION SHOWS ON THE WRONG PLACES (team vs standalone)  (HIGH)</t>
        </is>
      </c>
      <c r="C151" s="10" t="inlineStr">
        <is>
          <t>10.22</t>
        </is>
      </c>
      <c r="D151" s="10" t="inlineStr">
        <is>
          <t>After</t>
        </is>
      </c>
      <c r="E151" s="10" t="inlineStr">
        <is>
          <t>AFTER (expected)</t>
        </is>
      </c>
      <c r="F151" s="10" t="inlineStr">
        <is>
          <t>Combine Mode: decide + verify whether team-linked evaluations can be selected; standalone ones still can.</t>
        </is>
      </c>
      <c r="G151" s="10" t="inlineStr"/>
      <c r="H151" s="10" t="inlineStr"/>
      <c r="I151" s="10" t="inlineStr"/>
      <c r="J151" s="10" t="inlineStr"/>
      <c r="K151" s="10" t="inlineStr"/>
      <c r="L151" s="10" t="inlineStr"/>
      <c r="M151" s="10" t="inlineStr"/>
    </row>
    <row r="152">
      <c r="A152" s="10" t="n">
        <v>10</v>
      </c>
      <c r="B152" s="10" t="inlineStr">
        <is>
          <t>EVALUATION SHOWS ON THE WRONG PLACES (team vs standalone)  (HIGH)</t>
        </is>
      </c>
      <c r="C152" s="10" t="inlineStr">
        <is>
          <t>10.23</t>
        </is>
      </c>
      <c r="D152" s="10" t="inlineStr">
        <is>
          <t>After</t>
        </is>
      </c>
      <c r="E152" s="10" t="inlineStr">
        <is>
          <t>AFTER (expected)</t>
        </is>
      </c>
      <c r="F152" s="10" t="inlineStr">
        <is>
          <t>Free-plan EVALUATION LIMIT still counts ALL evaluations (standalone + team-linked). Creating one past the limit shows the limit message.</t>
        </is>
      </c>
      <c r="G152" s="10" t="inlineStr"/>
      <c r="H152" s="10" t="inlineStr"/>
      <c r="I152" s="10" t="inlineStr"/>
      <c r="J152" s="10" t="inlineStr"/>
      <c r="K152" s="10" t="inlineStr"/>
      <c r="L152" s="10" t="inlineStr"/>
      <c r="M152" s="10" t="inlineStr"/>
    </row>
    <row r="153">
      <c r="A153" s="10" t="n">
        <v>10</v>
      </c>
      <c r="B153" s="10" t="inlineStr">
        <is>
          <t>EVALUATION SHOWS ON THE WRONG PLACES (team vs standalone)  (HIGH)</t>
        </is>
      </c>
      <c r="C153" s="10" t="inlineStr">
        <is>
          <t>10.24</t>
        </is>
      </c>
      <c r="D153" s="10" t="inlineStr">
        <is>
          <t>After</t>
        </is>
      </c>
      <c r="E153" s="10" t="inlineStr">
        <is>
          <t>AFTER (expected)</t>
        </is>
      </c>
      <c r="F153" s="10" t="inlineStr">
        <is>
          <t>"Assigned to me" (assessor) evaluations are unaffected.</t>
        </is>
      </c>
      <c r="G153" s="10" t="inlineStr"/>
      <c r="H153" s="10" t="inlineStr"/>
      <c r="I153" s="10" t="inlineStr"/>
      <c r="J153" s="10" t="inlineStr"/>
      <c r="K153" s="10" t="inlineStr"/>
      <c r="L153" s="10" t="inlineStr"/>
      <c r="M153" s="10" t="inlineStr"/>
    </row>
    <row r="154">
      <c r="A154" s="10" t="n">
        <v>10</v>
      </c>
      <c r="B154" s="10" t="inlineStr">
        <is>
          <t>EVALUATION SHOWS ON THE WRONG PLACES (team vs standalone)  (HIGH)</t>
        </is>
      </c>
      <c r="C154" s="10" t="inlineStr">
        <is>
          <t>10.25</t>
        </is>
      </c>
      <c r="D154" s="10" t="inlineStr">
        <is>
          <t>After</t>
        </is>
      </c>
      <c r="E154" s="10" t="inlineStr">
        <is>
          <t>AFTER (expected)</t>
        </is>
      </c>
      <c r="F154" s="10" t="inlineStr">
        <is>
          <t>Search screen still finds team-linked evaluations.</t>
        </is>
      </c>
      <c r="G154" s="10" t="inlineStr"/>
      <c r="H154" s="10" t="inlineStr"/>
      <c r="I154" s="10" t="inlineStr"/>
      <c r="J154" s="10" t="inlineStr"/>
      <c r="K154" s="10" t="inlineStr"/>
      <c r="L154" s="10" t="inlineStr"/>
      <c r="M154" s="10" t="inlineStr"/>
    </row>
    <row r="155">
      <c r="A155" s="10" t="n">
        <v>10</v>
      </c>
      <c r="B155" s="10" t="inlineStr">
        <is>
          <t>EVALUATION SHOWS ON THE WRONG PLACES (team vs standalone)  (HIGH)</t>
        </is>
      </c>
      <c r="C155" s="10" t="inlineStr">
        <is>
          <t>10.26</t>
        </is>
      </c>
      <c r="D155" s="10" t="inlineStr">
        <is>
          <t>After</t>
        </is>
      </c>
      <c r="E155" s="10" t="inlineStr">
        <is>
          <t>AFTER (expected)</t>
        </is>
      </c>
      <c r="F155" s="10" t="inlineStr">
        <is>
          <t>Organization Dashboard (org-wide reporting) totals unchanged.</t>
        </is>
      </c>
      <c r="G155" s="10" t="inlineStr"/>
      <c r="H155" s="10" t="inlineStr"/>
      <c r="I155" s="10" t="inlineStr"/>
      <c r="J155" s="10" t="inlineStr"/>
      <c r="K155" s="10" t="inlineStr"/>
      <c r="L155" s="10" t="inlineStr"/>
      <c r="M155" s="10" t="inlineStr"/>
    </row>
    <row r="156">
      <c r="A156" s="10" t="n">
        <v>10</v>
      </c>
      <c r="B156" s="10" t="inlineStr">
        <is>
          <t>EVALUATION SHOWS ON THE WRONG PLACES (team vs standalone)  (HIGH)</t>
        </is>
      </c>
      <c r="C156" s="10" t="inlineStr">
        <is>
          <t>10.27</t>
        </is>
      </c>
      <c r="D156" s="10" t="inlineStr">
        <is>
          <t>After</t>
        </is>
      </c>
      <c r="E156" s="10" t="inlineStr">
        <is>
          <t>AFTER (expected)</t>
        </is>
      </c>
      <c r="F156" s="10" t="inlineStr">
        <is>
          <t>Guardian / assessor-only accounts: nothing new appears or disappears unexpectedly.</t>
        </is>
      </c>
      <c r="G156" s="10" t="inlineStr"/>
      <c r="H156" s="10" t="inlineStr"/>
      <c r="I156" s="10" t="inlineStr"/>
      <c r="J156" s="10" t="inlineStr"/>
      <c r="K156" s="10" t="inlineStr"/>
      <c r="L156" s="10" t="inlineStr"/>
      <c r="M156" s="10" t="inlineStr"/>
    </row>
    <row r="157">
      <c r="A157" s="10" t="n">
        <v>10</v>
      </c>
      <c r="B157" s="10" t="inlineStr">
        <is>
          <t>EVALUATION SHOWS ON THE WRONG PLACES (team vs standalone)  (HIGH)</t>
        </is>
      </c>
      <c r="C157" s="10" t="inlineStr">
        <is>
          <t>10.28</t>
        </is>
      </c>
      <c r="D157" s="10" t="inlineStr">
        <is>
          <t>After</t>
        </is>
      </c>
      <c r="E157" s="10" t="inlineStr">
        <is>
          <t>AFTER (expected)</t>
        </is>
      </c>
      <c r="F157" s="10" t="inlineStr">
        <is>
          <t>Pull-to-refresh / app restart: lists stay correct (no evaluation flickers into the wrong list).</t>
        </is>
      </c>
      <c r="G157" s="10" t="inlineStr"/>
      <c r="H157" s="10" t="inlineStr"/>
      <c r="I157" s="10" t="inlineStr"/>
      <c r="J157" s="10" t="inlineStr"/>
      <c r="K157" s="10" t="inlineStr"/>
      <c r="L157" s="10" t="inlineStr"/>
      <c r="M157" s="10" t="inlineStr"/>
    </row>
    <row r="158">
      <c r="A158" s="10" t="n">
        <v>11</v>
      </c>
      <c r="B158" s="10" t="inlineStr">
        <is>
          <t>DRAG AND DROP / TRADE PLAYERS BETWEEN TEAMS ON THE APK  (HIGH)</t>
        </is>
      </c>
      <c r="C158" s="10" t="inlineStr">
        <is>
          <t>11.1</t>
        </is>
      </c>
      <c r="D158" s="10" t="inlineStr">
        <is>
          <t>Before</t>
        </is>
      </c>
      <c r="E158" s="10" t="inlineStr">
        <is>
          <t>BEFORE (old APK - the one Shawn tested)</t>
        </is>
      </c>
      <c r="F158" s="10" t="inlineStr">
        <is>
          <t>Team Builder &gt; Generate teams. Look for the "Adjust" button. Result: present / missing:</t>
        </is>
      </c>
      <c r="G158" s="10" t="inlineStr"/>
      <c r="H158" s="10" t="inlineStr"/>
      <c r="I158" s="10" t="inlineStr"/>
      <c r="J158" s="10" t="inlineStr"/>
      <c r="K158" s="10" t="inlineStr"/>
      <c r="L158" s="10" t="inlineStr"/>
      <c r="M158" s="10" t="inlineStr"/>
    </row>
    <row r="159">
      <c r="A159" s="10" t="n">
        <v>11</v>
      </c>
      <c r="B159" s="10" t="inlineStr">
        <is>
          <t>DRAG AND DROP / TRADE PLAYERS BETWEEN TEAMS ON THE APK  (HIGH)</t>
        </is>
      </c>
      <c r="C159" s="10" t="inlineStr">
        <is>
          <t>11.2</t>
        </is>
      </c>
      <c r="D159" s="10" t="inlineStr">
        <is>
          <t>Before</t>
        </is>
      </c>
      <c r="E159" s="10" t="inlineStr">
        <is>
          <t>BEFORE (old APK - the one Shawn tested)</t>
        </is>
      </c>
      <c r="F159" s="10" t="inlineStr">
        <is>
          <t>If present: open Adjust. Long-press a player and drag to another team. Result: works / does nothing / scrolls the list:</t>
        </is>
      </c>
      <c r="G159" s="10" t="inlineStr"/>
      <c r="H159" s="10" t="inlineStr"/>
      <c r="I159" s="10" t="inlineStr"/>
      <c r="J159" s="10" t="inlineStr"/>
      <c r="K159" s="10" t="inlineStr"/>
      <c r="L159" s="10" t="inlineStr"/>
      <c r="M159" s="10" t="inlineStr"/>
    </row>
    <row r="160">
      <c r="A160" s="10" t="n">
        <v>11</v>
      </c>
      <c r="B160" s="10" t="inlineStr">
        <is>
          <t>DRAG AND DROP / TRADE PLAYERS BETWEEN TEAMS ON THE APK  (HIGH)</t>
        </is>
      </c>
      <c r="C160" s="10" t="inlineStr">
        <is>
          <t>11.3</t>
        </is>
      </c>
      <c r="D160" s="10" t="inlineStr">
        <is>
          <t>Before</t>
        </is>
      </c>
      <c r="E160" s="10" t="inlineStr">
        <is>
          <t>BEFORE (old APK - the one Shawn tested)</t>
        </is>
      </c>
      <c r="F160" s="10" t="inlineStr">
        <is>
          <t>Tap a player. Result: move sheet opens / nothing:</t>
        </is>
      </c>
      <c r="G160" s="10" t="inlineStr"/>
      <c r="H160" s="10" t="inlineStr"/>
      <c r="I160" s="10" t="inlineStr"/>
      <c r="J160" s="10" t="inlineStr"/>
      <c r="K160" s="10" t="inlineStr"/>
      <c r="L160" s="10" t="inlineStr"/>
      <c r="M160" s="10" t="inlineStr"/>
    </row>
    <row r="161">
      <c r="A161" s="10" t="n">
        <v>11</v>
      </c>
      <c r="B161" s="10" t="inlineStr">
        <is>
          <t>DRAG AND DROP / TRADE PLAYERS BETWEEN TEAMS ON THE APK  (HIGH)</t>
        </is>
      </c>
      <c r="C161" s="10" t="inlineStr">
        <is>
          <t>11.4</t>
        </is>
      </c>
      <c r="D161" s="10" t="inlineStr">
        <is>
          <t>Before</t>
        </is>
      </c>
      <c r="E161" s="10" t="inlineStr">
        <is>
          <t>BEFORE (old APK - the one Shawn tested)</t>
        </is>
      </c>
      <c r="F161" s="10" t="inlineStr">
        <is>
          <t>Note Android version, device, and navigation mode.</t>
        </is>
      </c>
      <c r="G161" s="10" t="inlineStr"/>
      <c r="H161" s="10" t="inlineStr"/>
      <c r="I161" s="10" t="inlineStr"/>
      <c r="J161" s="10" t="inlineStr"/>
      <c r="K161" s="10" t="inlineStr"/>
      <c r="L161" s="10" t="inlineStr"/>
      <c r="M161" s="10" t="inlineStr"/>
    </row>
    <row r="162">
      <c r="A162" s="10" t="n">
        <v>11</v>
      </c>
      <c r="B162" s="10" t="inlineStr">
        <is>
          <t>DRAG AND DROP / TRADE PLAYERS BETWEEN TEAMS ON THE APK  (HIGH)</t>
        </is>
      </c>
      <c r="C162" s="10" t="inlineStr">
        <is>
          <t>11.5</t>
        </is>
      </c>
      <c r="D162" s="10" t="inlineStr">
        <is>
          <t>After</t>
        </is>
      </c>
      <c r="E162" s="10" t="inlineStr">
        <is>
          <t>AFTER (rebuilt APK, expected)</t>
        </is>
      </c>
      <c r="F162" s="10" t="inlineStr">
        <is>
          <t>"Adjust" button is visible after generating teams; disabled only when no split exists.</t>
        </is>
      </c>
      <c r="G162" s="10" t="inlineStr">
        <is>
          <t>Yes</t>
        </is>
      </c>
      <c r="H162" s="10" t="inlineStr"/>
      <c r="I162" s="10" t="inlineStr"/>
      <c r="J162" s="10" t="inlineStr"/>
      <c r="K162" s="10" t="inlineStr"/>
      <c r="L162" s="10" t="inlineStr"/>
      <c r="M162" s="10" t="inlineStr"/>
    </row>
    <row r="163">
      <c r="A163" s="10" t="n">
        <v>11</v>
      </c>
      <c r="B163" s="10" t="inlineStr">
        <is>
          <t>DRAG AND DROP / TRADE PLAYERS BETWEEN TEAMS ON THE APK  (HIGH)</t>
        </is>
      </c>
      <c r="C163" s="10" t="inlineStr">
        <is>
          <t>11.6</t>
        </is>
      </c>
      <c r="D163" s="10" t="inlineStr">
        <is>
          <t>After</t>
        </is>
      </c>
      <c r="E163" s="10" t="inlineStr">
        <is>
          <t>AFTER (rebuilt APK, expected)</t>
        </is>
      </c>
      <c r="F163" s="10" t="inlineStr">
        <is>
          <t>Adjust opens a full-screen panel with all teams + Unassigned.</t>
        </is>
      </c>
      <c r="G163" s="10" t="inlineStr">
        <is>
          <t>Yes</t>
        </is>
      </c>
      <c r="H163" s="10" t="inlineStr"/>
      <c r="I163" s="10" t="inlineStr"/>
      <c r="J163" s="10" t="inlineStr"/>
      <c r="K163" s="10" t="inlineStr"/>
      <c r="L163" s="10" t="inlineStr"/>
      <c r="M163" s="10" t="inlineStr"/>
    </row>
    <row r="164">
      <c r="A164" s="10" t="n">
        <v>11</v>
      </c>
      <c r="B164" s="10" t="inlineStr">
        <is>
          <t>DRAG AND DROP / TRADE PLAYERS BETWEEN TEAMS ON THE APK  (HIGH)</t>
        </is>
      </c>
      <c r="C164" s="10" t="inlineStr">
        <is>
          <t>11.7</t>
        </is>
      </c>
      <c r="D164" s="10" t="inlineStr">
        <is>
          <t>After</t>
        </is>
      </c>
      <c r="E164" s="10" t="inlineStr">
        <is>
          <t>AFTER (rebuilt APK, expected)</t>
        </is>
      </c>
      <c r="F164" s="10" t="inlineStr">
        <is>
          <t>Long-press a player (about half a second), drag onto another team -&gt; highlights the drop target; release -&gt; player moves. BEFORE the scroll-lock fix the same gesture scrolled the list instead (counts unchanged); AFTER it the player moved 470/471.</t>
        </is>
      </c>
      <c r="G164" s="10" t="inlineStr">
        <is>
          <t>Yes</t>
        </is>
      </c>
      <c r="H164" s="10" t="inlineStr"/>
      <c r="I164" s="10" t="inlineStr"/>
      <c r="J164" s="10" t="inlineStr"/>
      <c r="K164" s="10" t="inlineStr"/>
      <c r="L164" s="10" t="inlineStr"/>
      <c r="M164" s="10" t="inlineStr"/>
    </row>
    <row r="165">
      <c r="A165" s="10" t="n">
        <v>11</v>
      </c>
      <c r="B165" s="10" t="inlineStr">
        <is>
          <t>DRAG AND DROP / TRADE PLAYERS BETWEEN TEAMS ON THE APK  (HIGH)</t>
        </is>
      </c>
      <c r="C165" s="10" t="inlineStr">
        <is>
          <t>11.8</t>
        </is>
      </c>
      <c r="D165" s="10" t="inlineStr">
        <is>
          <t>After</t>
        </is>
      </c>
      <c r="E165" s="10" t="inlineStr">
        <is>
          <t>AFTER (rebuilt APK, expected)</t>
        </is>
      </c>
      <c r="F165" s="10" t="inlineStr">
        <is>
          <t>A quick tap does NOT start a drag; the list still scrolls normally with a finger swipe.</t>
        </is>
      </c>
      <c r="G165" s="10" t="inlineStr">
        <is>
          <t>Yes</t>
        </is>
      </c>
      <c r="H165" s="10" t="inlineStr"/>
      <c r="I165" s="10" t="inlineStr"/>
      <c r="J165" s="10" t="inlineStr"/>
      <c r="K165" s="10" t="inlineStr"/>
      <c r="L165" s="10" t="inlineStr"/>
      <c r="M165" s="10" t="inlineStr"/>
    </row>
    <row r="166">
      <c r="A166" s="10" t="n">
        <v>11</v>
      </c>
      <c r="B166" s="10" t="inlineStr">
        <is>
          <t>DRAG AND DROP / TRADE PLAYERS BETWEEN TEAMS ON THE APK  (HIGH)</t>
        </is>
      </c>
      <c r="C166" s="10" t="inlineStr">
        <is>
          <t>11.9</t>
        </is>
      </c>
      <c r="D166" s="10" t="inlineStr">
        <is>
          <t>After</t>
        </is>
      </c>
      <c r="E166" s="10" t="inlineStr">
        <is>
          <t>AFTER (rebuilt APK, expected)</t>
        </is>
      </c>
      <c r="F166" s="10" t="inlineStr">
        <is>
          <t>Tap a player -&gt; sheet "Move Player" lists every team + Unassigned; pick one -&gt; player moves; Close/X leaves it unchanged.</t>
        </is>
      </c>
      <c r="G166" s="10" t="inlineStr">
        <is>
          <t>Yes</t>
        </is>
      </c>
      <c r="H166" s="10" t="inlineStr"/>
      <c r="I166" s="10" t="inlineStr"/>
      <c r="J166" s="10" t="inlineStr"/>
      <c r="K166" s="10" t="inlineStr"/>
      <c r="L166" s="10" t="inlineStr"/>
      <c r="M166" s="10" t="inlineStr"/>
    </row>
    <row r="167">
      <c r="A167" s="10" t="n">
        <v>11</v>
      </c>
      <c r="B167" s="10" t="inlineStr">
        <is>
          <t>DRAG AND DROP / TRADE PLAYERS BETWEEN TEAMS ON THE APK  (HIGH)</t>
        </is>
      </c>
      <c r="C167" s="10" t="inlineStr">
        <is>
          <t>11.10</t>
        </is>
      </c>
      <c r="D167" s="10" t="inlineStr">
        <is>
          <t>After</t>
        </is>
      </c>
      <c r="E167" s="10" t="inlineStr">
        <is>
          <t>AFTER (rebuilt APK, expected)</t>
        </is>
      </c>
      <c r="F167" s="10" t="inlineStr">
        <is>
          <t>Team totals update immediately: player counts, and average / overall scores for BOTH teams (the "scores update" part).</t>
        </is>
      </c>
      <c r="G167" s="10" t="inlineStr"/>
      <c r="H167" s="10" t="inlineStr"/>
      <c r="I167" s="10" t="inlineStr"/>
      <c r="J167" s="10" t="inlineStr"/>
      <c r="K167" s="10" t="inlineStr"/>
      <c r="L167" s="10" t="inlineStr"/>
      <c r="M167" s="10" t="inlineStr"/>
    </row>
    <row r="168">
      <c r="A168" s="10" t="n">
        <v>11</v>
      </c>
      <c r="B168" s="10" t="inlineStr">
        <is>
          <t>DRAG AND DROP / TRADE PLAYERS BETWEEN TEAMS ON THE APK  (HIGH)</t>
        </is>
      </c>
      <c r="C168" s="10" t="inlineStr">
        <is>
          <t>11.11</t>
        </is>
      </c>
      <c r="D168" s="10" t="inlineStr">
        <is>
          <t>After</t>
        </is>
      </c>
      <c r="E168" s="10" t="inlineStr">
        <is>
          <t>AFTER (rebuilt APK, expected)</t>
        </is>
      </c>
      <c r="F168" s="10" t="inlineStr">
        <is>
          <t>Move a player to Unassigned and back.</t>
        </is>
      </c>
      <c r="G168" s="10" t="inlineStr"/>
      <c r="H168" s="10" t="inlineStr"/>
      <c r="I168" s="10" t="inlineStr"/>
      <c r="J168" s="10" t="inlineStr"/>
      <c r="K168" s="10" t="inlineStr"/>
      <c r="L168" s="10" t="inlineStr"/>
      <c r="M168" s="10" t="inlineStr"/>
    </row>
    <row r="169">
      <c r="A169" s="10" t="n">
        <v>11</v>
      </c>
      <c r="B169" s="10" t="inlineStr">
        <is>
          <t>DRAG AND DROP / TRADE PLAYERS BETWEEN TEAMS ON THE APK  (HIGH)</t>
        </is>
      </c>
      <c r="C169" s="10" t="inlineStr">
        <is>
          <t>11.12</t>
        </is>
      </c>
      <c r="D169" s="10" t="inlineStr">
        <is>
          <t>After</t>
        </is>
      </c>
      <c r="E169" s="10" t="inlineStr">
        <is>
          <t>AFTER (rebuilt APK, expected)</t>
        </is>
      </c>
      <c r="F169" s="10" t="inlineStr">
        <is>
          <t>Move a goalie (GTL): goalie rule respected, no team ends up with an invalid goalie count without warning.</t>
        </is>
      </c>
      <c r="G169" s="10" t="inlineStr"/>
      <c r="H169" s="10" t="inlineStr"/>
      <c r="I169" s="10" t="inlineStr"/>
      <c r="J169" s="10" t="inlineStr"/>
      <c r="K169" s="10" t="inlineStr"/>
      <c r="L169" s="10" t="inlineStr"/>
      <c r="M169" s="10" t="inlineStr"/>
    </row>
    <row r="170">
      <c r="A170" s="10" t="n">
        <v>11</v>
      </c>
      <c r="B170" s="10" t="inlineStr">
        <is>
          <t>DRAG AND DROP / TRADE PLAYERS BETWEEN TEAMS ON THE APK  (HIGH)</t>
        </is>
      </c>
      <c r="C170" s="10" t="inlineStr">
        <is>
          <t>11.13</t>
        </is>
      </c>
      <c r="D170" s="10" t="inlineStr">
        <is>
          <t>After</t>
        </is>
      </c>
      <c r="E170" s="10" t="inlineStr">
        <is>
          <t>AFTER (rebuilt APK, expected)</t>
        </is>
      </c>
      <c r="F170" s="10" t="inlineStr">
        <is>
          <t>Undo and Redo after a drag move, and after a sheet move. (undo verified in simulator; redo button enables)</t>
        </is>
      </c>
      <c r="G170" s="10" t="inlineStr">
        <is>
          <t>Yes</t>
        </is>
      </c>
      <c r="H170" s="10" t="inlineStr"/>
      <c r="I170" s="10" t="inlineStr"/>
      <c r="J170" s="10" t="inlineStr"/>
      <c r="K170" s="10" t="inlineStr"/>
      <c r="L170" s="10" t="inlineStr"/>
      <c r="M170" s="10" t="inlineStr"/>
    </row>
    <row r="171">
      <c r="A171" s="10" t="n">
        <v>11</v>
      </c>
      <c r="B171" s="10" t="inlineStr">
        <is>
          <t>DRAG AND DROP / TRADE PLAYERS BETWEEN TEAMS ON THE APK  (HIGH)</t>
        </is>
      </c>
      <c r="C171" s="10" t="inlineStr">
        <is>
          <t>11.14</t>
        </is>
      </c>
      <c r="D171" s="10" t="inlineStr">
        <is>
          <t>After</t>
        </is>
      </c>
      <c r="E171" s="10" t="inlineStr">
        <is>
          <t>AFTER (rebuilt APK, expected)</t>
        </is>
      </c>
      <c r="F171" s="10" t="inlineStr">
        <is>
          <t>A fresh move after Undo clears the Redo history.</t>
        </is>
      </c>
      <c r="G171" s="10" t="inlineStr"/>
      <c r="H171" s="10" t="inlineStr"/>
      <c r="I171" s="10" t="inlineStr"/>
      <c r="J171" s="10" t="inlineStr"/>
      <c r="K171" s="10" t="inlineStr"/>
      <c r="L171" s="10" t="inlineStr"/>
      <c r="M171" s="10" t="inlineStr"/>
    </row>
    <row r="172">
      <c r="A172" s="10" t="n">
        <v>11</v>
      </c>
      <c r="B172" s="10" t="inlineStr">
        <is>
          <t>DRAG AND DROP / TRADE PLAYERS BETWEEN TEAMS ON THE APK  (HIGH)</t>
        </is>
      </c>
      <c r="C172" s="10" t="inlineStr">
        <is>
          <t>11.15</t>
        </is>
      </c>
      <c r="D172" s="10" t="inlineStr">
        <is>
          <t>After</t>
        </is>
      </c>
      <c r="E172" s="10" t="inlineStr">
        <is>
          <t>AFTER (rebuilt APK, expected)</t>
        </is>
      </c>
      <c r="F172" s="10" t="inlineStr">
        <is>
          <t>Done -&gt; back to Team Builder showing the adjusted teams.</t>
        </is>
      </c>
      <c r="G172" s="10" t="inlineStr"/>
      <c r="H172" s="10" t="inlineStr"/>
      <c r="I172" s="10" t="inlineStr"/>
      <c r="J172" s="10" t="inlineStr"/>
      <c r="K172" s="10" t="inlineStr"/>
      <c r="L172" s="10" t="inlineStr"/>
      <c r="M172" s="10" t="inlineStr"/>
    </row>
    <row r="173">
      <c r="A173" s="10" t="n">
        <v>11</v>
      </c>
      <c r="B173" s="10" t="inlineStr">
        <is>
          <t>DRAG AND DROP / TRADE PLAYERS BETWEEN TEAMS ON THE APK  (HIGH)</t>
        </is>
      </c>
      <c r="C173" s="10" t="inlineStr">
        <is>
          <t>11.16</t>
        </is>
      </c>
      <c r="D173" s="10" t="inlineStr">
        <is>
          <t>After</t>
        </is>
      </c>
      <c r="E173" s="10" t="inlineStr">
        <is>
          <t>AFTER (rebuilt APK, expected)</t>
        </is>
      </c>
      <c r="F173" s="10" t="inlineStr">
        <is>
          <t>Save the adjusted result -&gt; reopen it from saved drafts -&gt; moved players are where you left them.</t>
        </is>
      </c>
      <c r="G173" s="10" t="inlineStr"/>
      <c r="H173" s="10" t="inlineStr"/>
      <c r="I173" s="10" t="inlineStr"/>
      <c r="J173" s="10" t="inlineStr"/>
      <c r="K173" s="10" t="inlineStr"/>
      <c r="L173" s="10" t="inlineStr"/>
      <c r="M173" s="10" t="inlineStr"/>
    </row>
    <row r="174">
      <c r="A174" s="10" t="n">
        <v>11</v>
      </c>
      <c r="B174" s="10" t="inlineStr">
        <is>
          <t>DRAG AND DROP / TRADE PLAYERS BETWEEN TEAMS ON THE APK  (HIGH)</t>
        </is>
      </c>
      <c r="C174" s="10" t="inlineStr">
        <is>
          <t>11.17</t>
        </is>
      </c>
      <c r="D174" s="10" t="inlineStr">
        <is>
          <t>After</t>
        </is>
      </c>
      <c r="E174" s="10" t="inlineStr">
        <is>
          <t>AFTER (rebuilt APK, expected)</t>
        </is>
      </c>
      <c r="F174" s="10" t="inlineStr">
        <is>
          <t>Export (xlsx / pdf) contains the adjusted teams, not the original generated split.</t>
        </is>
      </c>
      <c r="G174" s="10" t="inlineStr"/>
      <c r="H174" s="10" t="inlineStr"/>
      <c r="I174" s="10" t="inlineStr"/>
      <c r="J174" s="10" t="inlineStr"/>
      <c r="K174" s="10" t="inlineStr"/>
      <c r="L174" s="10" t="inlineStr"/>
      <c r="M174" s="10" t="inlineStr"/>
    </row>
    <row r="175">
      <c r="A175" s="10" t="n">
        <v>11</v>
      </c>
      <c r="B175" s="10" t="inlineStr">
        <is>
          <t>DRAG AND DROP / TRADE PLAYERS BETWEEN TEAMS ON THE APK  (HIGH)</t>
        </is>
      </c>
      <c r="C175" s="10" t="inlineStr">
        <is>
          <t>11.18</t>
        </is>
      </c>
      <c r="D175" s="10" t="inlineStr">
        <is>
          <t>After</t>
        </is>
      </c>
      <c r="E175" s="10" t="inlineStr">
        <is>
          <t>AFTER (rebuilt APK, expected)</t>
        </is>
      </c>
      <c r="F175" s="10" t="inlineStr">
        <is>
          <t>Regenerate teams after adjusting: adjustments are replaced by the new split (no stale edits).</t>
        </is>
      </c>
      <c r="G175" s="10" t="inlineStr"/>
      <c r="H175" s="10" t="inlineStr"/>
      <c r="I175" s="10" t="inlineStr"/>
      <c r="J175" s="10" t="inlineStr"/>
      <c r="K175" s="10" t="inlineStr"/>
      <c r="L175" s="10" t="inlineStr"/>
      <c r="M175" s="10" t="inlineStr"/>
    </row>
    <row r="176">
      <c r="A176" s="10" t="n">
        <v>11</v>
      </c>
      <c r="B176" s="10" t="inlineStr">
        <is>
          <t>DRAG AND DROP / TRADE PLAYERS BETWEEN TEAMS ON THE APK  (HIGH)</t>
        </is>
      </c>
      <c r="C176" s="10" t="inlineStr">
        <is>
          <t>11.19</t>
        </is>
      </c>
      <c r="D176" s="10" t="inlineStr">
        <is>
          <t>After</t>
        </is>
      </c>
      <c r="E176" s="10" t="inlineStr">
        <is>
          <t>AFTER (rebuilt APK, expected)</t>
        </is>
      </c>
      <c r="F176" s="10" t="inlineStr">
        <is>
          <t>Small phone (5.5"), 100+ players: panel is usable, sheet fits, nothing hidden behind the Android nav bar (3-button + gesture).</t>
        </is>
      </c>
      <c r="G176" s="10" t="inlineStr"/>
      <c r="H176" s="10" t="inlineStr"/>
      <c r="I176" s="10" t="inlineStr"/>
      <c r="J176" s="10" t="inlineStr"/>
      <c r="K176" s="10" t="inlineStr"/>
      <c r="L176" s="10" t="inlineStr"/>
      <c r="M176" s="10" t="inlineStr"/>
    </row>
    <row r="177">
      <c r="A177" s="10" t="n">
        <v>11</v>
      </c>
      <c r="B177" s="10" t="inlineStr">
        <is>
          <t>DRAG AND DROP / TRADE PLAYERS BETWEEN TEAMS ON THE APK  (HIGH)</t>
        </is>
      </c>
      <c r="C177" s="10" t="inlineStr">
        <is>
          <t>11.20</t>
        </is>
      </c>
      <c r="D177" s="10" t="inlineStr">
        <is>
          <t>After</t>
        </is>
      </c>
      <c r="E177" s="10" t="inlineStr">
        <is>
          <t>AFTER (rebuilt APK, expected)</t>
        </is>
      </c>
      <c r="F177" s="10" t="inlineStr">
        <is>
          <t>Dark and light mode: drop-target highlight and sheet readable.</t>
        </is>
      </c>
      <c r="G177" s="10" t="inlineStr"/>
      <c r="H177" s="10" t="inlineStr"/>
      <c r="I177" s="10" t="inlineStr"/>
      <c r="J177" s="10" t="inlineStr"/>
      <c r="K177" s="10" t="inlineStr"/>
      <c r="L177" s="10" t="inlineStr"/>
      <c r="M177" s="10" t="inlineStr"/>
    </row>
    <row r="178">
      <c r="A178" s="10" t="n">
        <v>11</v>
      </c>
      <c r="B178" s="10" t="inlineStr">
        <is>
          <t>DRAG AND DROP / TRADE PLAYERS BETWEEN TEAMS ON THE APK  (HIGH)</t>
        </is>
      </c>
      <c r="C178" s="10" t="inlineStr">
        <is>
          <t>11.21</t>
        </is>
      </c>
      <c r="D178" s="10" t="inlineStr">
        <is>
          <t>After</t>
        </is>
      </c>
      <c r="E178" s="10" t="inlineStr">
        <is>
          <t>AFTER (rebuilt APK, expected)</t>
        </is>
      </c>
      <c r="F178" s="10" t="inlineStr">
        <is>
          <t>Large font size (130-200%): rows and buttons not cut off.</t>
        </is>
      </c>
      <c r="G178" s="10" t="inlineStr"/>
      <c r="H178" s="10" t="inlineStr"/>
      <c r="I178" s="10" t="inlineStr"/>
      <c r="J178" s="10" t="inlineStr"/>
      <c r="K178" s="10" t="inlineStr"/>
      <c r="L178" s="10" t="inlineStr"/>
      <c r="M178" s="10" t="inlineStr"/>
    </row>
    <row r="179">
      <c r="A179" s="10" t="n">
        <v>11</v>
      </c>
      <c r="B179" s="10" t="inlineStr">
        <is>
          <t>DRAG AND DROP / TRADE PLAYERS BETWEEN TEAMS ON THE APK  (HIGH)</t>
        </is>
      </c>
      <c r="C179" s="10" t="inlineStr">
        <is>
          <t>11.22</t>
        </is>
      </c>
      <c r="D179" s="10" t="inlineStr">
        <is>
          <t>After</t>
        </is>
      </c>
      <c r="E179" s="10" t="inlineStr">
        <is>
          <t>AFTER (rebuilt APK, expected)</t>
        </is>
      </c>
      <c r="F179" s="10" t="inlineStr">
        <is>
          <t>Drop outside any team: player snaps back, no change.</t>
        </is>
      </c>
      <c r="G179" s="10" t="inlineStr"/>
      <c r="H179" s="10" t="inlineStr"/>
      <c r="I179" s="10" t="inlineStr"/>
      <c r="J179" s="10" t="inlineStr"/>
      <c r="K179" s="10" t="inlineStr"/>
      <c r="L179" s="10" t="inlineStr"/>
      <c r="M179" s="10" t="inlineStr"/>
    </row>
    <row r="180">
      <c r="A180" s="10" t="n">
        <v>11</v>
      </c>
      <c r="B180" s="10" t="inlineStr">
        <is>
          <t>DRAG AND DROP / TRADE PLAYERS BETWEEN TEAMS ON THE APK  (HIGH)</t>
        </is>
      </c>
      <c r="C180" s="10" t="inlineStr">
        <is>
          <t>11.23</t>
        </is>
      </c>
      <c r="D180" s="10" t="inlineStr">
        <is>
          <t>After</t>
        </is>
      </c>
      <c r="E180" s="10" t="inlineStr">
        <is>
          <t>AFTER (rebuilt APK, expected)</t>
        </is>
      </c>
      <c r="F180" s="10" t="inlineStr">
        <is>
          <t>Move a player to the team they are already on: no-op, no undo entry.</t>
        </is>
      </c>
      <c r="G180" s="10" t="inlineStr"/>
      <c r="H180" s="10" t="inlineStr"/>
      <c r="I180" s="10" t="inlineStr"/>
      <c r="J180" s="10" t="inlineStr"/>
      <c r="K180" s="10" t="inlineStr"/>
      <c r="L180" s="10" t="inlineStr"/>
      <c r="M180" s="10" t="inlineStr"/>
    </row>
    <row r="181">
      <c r="A181" s="10" t="n">
        <v>11</v>
      </c>
      <c r="B181" s="10" t="inlineStr">
        <is>
          <t>DRAG AND DROP / TRADE PLAYERS BETWEEN TEAMS ON THE APK  (HIGH)</t>
        </is>
      </c>
      <c r="C181" s="10" t="inlineStr">
        <is>
          <t>11.24</t>
        </is>
      </c>
      <c r="D181" s="10" t="inlineStr">
        <is>
          <t>After</t>
        </is>
      </c>
      <c r="E181" s="10" t="inlineStr">
        <is>
          <t>AFTER (rebuilt APK, expected)</t>
        </is>
      </c>
      <c r="F181" s="10" t="inlineStr">
        <is>
          <t>Compare with WEB: same players moved on web and phone give the same team averages.</t>
        </is>
      </c>
      <c r="G181" s="10" t="inlineStr"/>
      <c r="H181" s="10" t="inlineStr"/>
      <c r="I181" s="10" t="inlineStr"/>
      <c r="J181" s="10" t="inlineStr"/>
      <c r="K181" s="10" t="inlineStr"/>
      <c r="L181" s="10" t="inlineStr"/>
      <c r="M181" s="10" t="inlineStr"/>
    </row>
    <row r="182">
      <c r="A182" s="10" t="n">
        <v>11</v>
      </c>
      <c r="B182" s="10" t="inlineStr">
        <is>
          <t>DRAG AND DROP / TRADE PLAYERS BETWEEN TEAMS ON THE APK  (HIGH)</t>
        </is>
      </c>
      <c r="C182" s="10" t="inlineStr">
        <is>
          <t>11.25</t>
        </is>
      </c>
      <c r="D182" s="10" t="inlineStr">
        <is>
          <t>After</t>
        </is>
      </c>
      <c r="E182" s="10" t="inlineStr">
        <is>
          <t>AFTER (rebuilt APK, expected)</t>
        </is>
      </c>
      <c r="F182" s="10" t="inlineStr">
        <is>
          <t>Friend packages: moving one member of a friend group - confirm behaviour is the same as web (warn or allow).</t>
        </is>
      </c>
      <c r="G182" s="10" t="inlineStr"/>
      <c r="H182" s="10" t="inlineStr"/>
      <c r="I182" s="10" t="inlineStr"/>
      <c r="J182" s="10" t="inlineStr"/>
      <c r="K182" s="10" t="inlineStr"/>
      <c r="L182" s="10" t="inlineStr"/>
      <c r="M182" s="10" t="inlineStr"/>
    </row>
    <row r="183">
      <c r="A183" s="10" t="n">
        <v>11</v>
      </c>
      <c r="B183" s="10" t="inlineStr">
        <is>
          <t>DRAG AND DROP / TRADE PLAYERS BETWEEN TEAMS ON THE APK  (HIGH)</t>
        </is>
      </c>
      <c r="C183" s="10" t="inlineStr">
        <is>
          <t>11.26</t>
        </is>
      </c>
      <c r="D183" s="10" t="inlineStr">
        <is>
          <t>After</t>
        </is>
      </c>
      <c r="E183" s="10" t="inlineStr">
        <is>
          <t>AFTER (rebuilt APK, expected)</t>
        </is>
      </c>
      <c r="F183" s="10" t="inlineStr">
        <is>
          <t>Assessor-only / free-plan accounts: Team Builder gating (plan gate) unchanged.</t>
        </is>
      </c>
      <c r="G183" s="10" t="inlineStr"/>
      <c r="H183" s="10" t="inlineStr"/>
      <c r="I183" s="10" t="inlineStr"/>
      <c r="J183" s="10" t="inlineStr"/>
      <c r="K183" s="10" t="inlineStr"/>
      <c r="L183" s="10" t="inlineStr"/>
      <c r="M183" s="10" t="inlineStr"/>
    </row>
    <row r="184">
      <c r="A184" s="10" t="n">
        <v>11</v>
      </c>
      <c r="B184" s="10" t="inlineStr">
        <is>
          <t>DRAG AND DROP / TRADE PLAYERS BETWEEN TEAMS ON THE APK  (HIGH)</t>
        </is>
      </c>
      <c r="C184" s="10" t="inlineStr">
        <is>
          <t>11.27</t>
        </is>
      </c>
      <c r="D184" s="10" t="inlineStr">
        <is>
          <t>After</t>
        </is>
      </c>
      <c r="E184" s="10" t="inlineStr">
        <is>
          <t>AFTER (rebuilt APK, expected)</t>
        </is>
      </c>
      <c r="F184" s="10" t="inlineStr">
        <is>
          <t>Hint under the Adjust row on Team Builder is visible: "Adjust moves players between teams: hold a player to drag them onto a team, or tap one and pick a team. Team averages update as you go."</t>
        </is>
      </c>
      <c r="G184" s="10" t="inlineStr">
        <is>
          <t>Yes</t>
        </is>
      </c>
      <c r="H184" s="10" t="inlineStr"/>
      <c r="I184" s="10" t="inlineStr"/>
      <c r="J184" s="10" t="inlineStr"/>
      <c r="K184" s="10" t="inlineStr"/>
      <c r="L184" s="10" t="inlineStr"/>
      <c r="M184" s="10" t="inlineStr"/>
    </row>
    <row r="185">
      <c r="A185" s="10" t="n">
        <v>11</v>
      </c>
      <c r="B185" s="10" t="inlineStr">
        <is>
          <t>DRAG AND DROP / TRADE PLAYERS BETWEEN TEAMS ON THE APK  (HIGH)</t>
        </is>
      </c>
      <c r="C185" s="10" t="inlineStr">
        <is>
          <t>11.28</t>
        </is>
      </c>
      <c r="D185" s="10" t="inlineStr">
        <is>
          <t>After</t>
        </is>
      </c>
      <c r="E185" s="10" t="inlineStr">
        <is>
          <t>AFTER (rebuilt APK, expected)</t>
        </is>
      </c>
      <c r="F185" s="10" t="inlineStr">
        <is>
          <t>Team averages: with SCORED players, each bin shows "N players - Avg X.X"; after a move BOTH teams' averages change. Unscored players do not count as 0. (dummy data in the simulator had no scores, so the average line was not shown - needs a scored evaluation).</t>
        </is>
      </c>
      <c r="G185" s="10" t="inlineStr"/>
      <c r="H185" s="10" t="inlineStr"/>
      <c r="I185" s="10" t="inlineStr"/>
      <c r="J185" s="10" t="inlineStr"/>
      <c r="K185" s="10" t="inlineStr"/>
      <c r="L185" s="10" t="inlineStr"/>
      <c r="M185" s="10" t="inlineStr"/>
    </row>
    <row r="186">
      <c r="A186" s="10" t="n">
        <v>11</v>
      </c>
      <c r="B186" s="10" t="inlineStr">
        <is>
          <t>DRAG AND DROP / TRADE PLAYERS BETWEEN TEAMS ON THE APK  (HIGH)</t>
        </is>
      </c>
      <c r="C186" s="10" t="inlineStr">
        <is>
          <t>11.29</t>
        </is>
      </c>
      <c r="D186" s="10" t="inlineStr">
        <is>
          <t>After</t>
        </is>
      </c>
      <c r="E186" s="10" t="inlineStr">
        <is>
          <t>AFTER (rebuilt APK, expected)</t>
        </is>
      </c>
      <c r="F186" s="10" t="inlineStr">
        <is>
          <t>Scroll-lock safety: hold a player ~1s WITHOUT moving, release -&gt; list scrolls normally afterwards (never stays frozen).</t>
        </is>
      </c>
      <c r="G186" s="10" t="inlineStr"/>
      <c r="H186" s="10" t="inlineStr"/>
      <c r="I186" s="10" t="inlineStr"/>
      <c r="J186" s="10" t="inlineStr"/>
      <c r="K186" s="10" t="inlineStr"/>
      <c r="L186" s="10" t="inlineStr"/>
      <c r="M186" s="10" t="inlineStr"/>
    </row>
    <row r="187">
      <c r="A187" s="10" t="n">
        <v>11</v>
      </c>
      <c r="B187" s="10" t="inlineStr">
        <is>
          <t>DRAG AND DROP / TRADE PLAYERS BETWEEN TEAMS ON THE APK  (HIGH)</t>
        </is>
      </c>
      <c r="C187" s="10" t="inlineStr">
        <is>
          <t>11.30</t>
        </is>
      </c>
      <c r="D187" s="10" t="inlineStr">
        <is>
          <t>After</t>
        </is>
      </c>
      <c r="E187" s="10" t="inlineStr">
        <is>
          <t>AFTER (rebuilt APK, expected)</t>
        </is>
      </c>
      <c r="F187" s="10" t="inlineStr">
        <is>
          <t>Hold a player, then a phone call / notification / app switch interrupts -&gt; back in the app the list still scrolls.</t>
        </is>
      </c>
      <c r="G187" s="10" t="inlineStr"/>
      <c r="H187" s="10" t="inlineStr"/>
      <c r="I187" s="10" t="inlineStr"/>
      <c r="J187" s="10" t="inlineStr"/>
      <c r="K187" s="10" t="inlineStr"/>
      <c r="L187" s="10" t="inlineStr"/>
      <c r="M187" s="10" t="inlineStr"/>
    </row>
    <row r="188">
      <c r="A188" s="10" t="n">
        <v>11</v>
      </c>
      <c r="B188" s="10" t="inlineStr">
        <is>
          <t>DRAG AND DROP / TRADE PLAYERS BETWEEN TEAMS ON THE APK  (HIGH)</t>
        </is>
      </c>
      <c r="C188" s="10" t="inlineStr">
        <is>
          <t>11.31</t>
        </is>
      </c>
      <c r="D188" s="10" t="inlineStr">
        <is>
          <t>After</t>
        </is>
      </c>
      <c r="E188" s="10" t="inlineStr">
        <is>
          <t>AFTER (rebuilt APK, expected)</t>
        </is>
      </c>
      <c r="F188" s="10" t="inlineStr">
        <is>
          <t>Drag, drop, then immediately swipe-scroll: list scrolls .</t>
        </is>
      </c>
      <c r="G188" s="10" t="inlineStr"/>
      <c r="H188" s="10" t="inlineStr"/>
      <c r="I188" s="10" t="inlineStr"/>
      <c r="J188" s="10" t="inlineStr"/>
      <c r="K188" s="10" t="inlineStr"/>
      <c r="L188" s="10" t="inlineStr"/>
      <c r="M188" s="10" t="inlineStr"/>
    </row>
    <row r="189">
      <c r="A189" s="10" t="n">
        <v>11</v>
      </c>
      <c r="B189" s="10" t="inlineStr">
        <is>
          <t>DRAG AND DROP / TRADE PLAYERS BETWEEN TEAMS ON THE APK  (HIGH)</t>
        </is>
      </c>
      <c r="C189" s="10" t="inlineStr">
        <is>
          <t>11.32</t>
        </is>
      </c>
      <c r="D189" s="10" t="inlineStr">
        <is>
          <t>After</t>
        </is>
      </c>
      <c r="E189" s="10" t="inlineStr">
        <is>
          <t>AFTER (rebuilt APK, expected)</t>
        </is>
      </c>
      <c r="F189" s="10" t="inlineStr">
        <is>
          <t>Drag with a real finger on Android (not just iOS simulator): hold about a quarter second, then move -&gt; lifts and moves.</t>
        </is>
      </c>
      <c r="G189" s="10" t="inlineStr"/>
      <c r="H189" s="10" t="inlineStr"/>
      <c r="I189" s="10" t="inlineStr"/>
      <c r="J189" s="10" t="inlineStr"/>
      <c r="K189" s="10" t="inlineStr"/>
      <c r="L189" s="10" t="inlineStr"/>
      <c r="M189" s="10" t="inlineStr"/>
    </row>
    <row r="190">
      <c r="A190" s="10" t="n">
        <v>11</v>
      </c>
      <c r="B190" s="10" t="inlineStr">
        <is>
          <t>DRAG AND DROP / TRADE PLAYERS BETWEEN TEAMS ON THE APK  (HIGH)</t>
        </is>
      </c>
      <c r="C190" s="10" t="inlineStr">
        <is>
          <t>11.33</t>
        </is>
      </c>
      <c r="D190" s="10" t="inlineStr">
        <is>
          <t>After</t>
        </is>
      </c>
      <c r="E190" s="10" t="inlineStr">
        <is>
          <t>AFTER (rebuilt APK, expected)</t>
        </is>
      </c>
      <c r="F190" s="10" t="inlineStr">
        <is>
          <t>Drop onto Unassigned, then drag that player back to a team.</t>
        </is>
      </c>
      <c r="G190" s="10" t="inlineStr"/>
      <c r="H190" s="10" t="inlineStr"/>
      <c r="I190" s="10" t="inlineStr"/>
      <c r="J190" s="10" t="inlineStr"/>
      <c r="K190" s="10" t="inlineStr"/>
      <c r="L190" s="10" t="inlineStr"/>
      <c r="M190" s="10" t="inlineStr"/>
    </row>
    <row r="191">
      <c r="A191" s="10" t="n">
        <v>11</v>
      </c>
      <c r="B191" s="10" t="inlineStr">
        <is>
          <t>DRAG AND DROP / TRADE PLAYERS BETWEEN TEAMS ON THE APK  (HIGH)</t>
        </is>
      </c>
      <c r="C191" s="10" t="inlineStr">
        <is>
          <t>11.34</t>
        </is>
      </c>
      <c r="D191" s="10" t="inlineStr">
        <is>
          <t>After</t>
        </is>
      </c>
      <c r="E191" s="10" t="inlineStr">
        <is>
          <t>AFTER (rebuilt APK, expected)</t>
        </is>
      </c>
      <c r="F191" s="10" t="inlineStr">
        <is>
          <t>Save the adjusted result, leave and reopen: adjustments kept. Leave WITHOUT saving: adjustments are dropped .</t>
        </is>
      </c>
      <c r="G191" s="10" t="inlineStr">
        <is>
          <t>Yes</t>
        </is>
      </c>
      <c r="H191" s="10" t="inlineStr"/>
      <c r="I191" s="10" t="inlineStr"/>
      <c r="J191" s="10" t="inlineStr"/>
      <c r="K191" s="10" t="inlineStr"/>
      <c r="L191" s="10" t="inlineStr"/>
      <c r="M191" s="10" t="inlineStr"/>
    </row>
    <row r="192">
      <c r="A192" s="10" t="n">
        <v>11</v>
      </c>
      <c r="B192" s="10" t="inlineStr">
        <is>
          <t>DRAG AND DROP / TRADE PLAYERS BETWEEN TEAMS ON THE APK  (HIGH)</t>
        </is>
      </c>
      <c r="C192" s="10" t="inlineStr">
        <is>
          <t>11.35</t>
        </is>
      </c>
      <c r="D192" s="10" t="inlineStr">
        <is>
          <t>After</t>
        </is>
      </c>
      <c r="E192" s="10" t="inlineStr">
        <is>
          <t>AFTER (rebuilt APK, expected)</t>
        </is>
      </c>
      <c r="F192" s="10" t="inlineStr">
        <is>
          <t>Note: generating a split on a test evaluation saves a draft on it; "New" hides it, generating again overwrites it.</t>
        </is>
      </c>
      <c r="G192" s="10" t="inlineStr"/>
      <c r="H192" s="10" t="inlineStr"/>
      <c r="I192" s="10" t="inlineStr"/>
      <c r="J192" s="10" t="inlineStr"/>
      <c r="K192" s="10" t="inlineStr"/>
      <c r="L192" s="10" t="inlineStr"/>
      <c r="M192" s="10" t="inlineStr"/>
    </row>
    <row r="193">
      <c r="A193" s="10" t="n">
        <v>12</v>
      </c>
      <c r="B193" s="10" t="inlineStr">
        <is>
          <t>EXTRA REGRESSION CHECKS FOR SECTIONS 10 AND 11</t>
        </is>
      </c>
      <c r="C193" s="10" t="inlineStr">
        <is>
          <t>12.1</t>
        </is>
      </c>
      <c r="D193" s="10" t="inlineStr">
        <is>
          <t>Regression</t>
        </is>
      </c>
      <c r="E193" s="10" t="inlineStr"/>
      <c r="F193" s="10" t="inlineStr">
        <is>
          <t>New Evaluation: create with and without a team; plan limit; rubrics required; invites to assessors still sent.</t>
        </is>
      </c>
      <c r="G193" s="10" t="inlineStr"/>
      <c r="H193" s="10" t="inlineStr"/>
      <c r="I193" s="10" t="inlineStr"/>
      <c r="J193" s="10" t="inlineStr"/>
      <c r="K193" s="10" t="inlineStr"/>
      <c r="L193" s="10" t="inlineStr"/>
      <c r="M193" s="10" t="inlineStr"/>
    </row>
    <row r="194">
      <c r="A194" s="10" t="n">
        <v>12</v>
      </c>
      <c r="B194" s="10" t="inlineStr">
        <is>
          <t>EXTRA REGRESSION CHECKS FOR SECTIONS 10 AND 11</t>
        </is>
      </c>
      <c r="C194" s="10" t="inlineStr">
        <is>
          <t>12.2</t>
        </is>
      </c>
      <c r="D194" s="10" t="inlineStr">
        <is>
          <t>Regression</t>
        </is>
      </c>
      <c r="E194" s="10" t="inlineStr"/>
      <c r="F194" s="10" t="inlineStr">
        <is>
          <t>Team &gt; Evaluations tab: Create, Attach Existing, open, badge.</t>
        </is>
      </c>
      <c r="G194" s="10" t="inlineStr"/>
      <c r="H194" s="10" t="inlineStr"/>
      <c r="I194" s="10" t="inlineStr"/>
      <c r="J194" s="10" t="inlineStr"/>
      <c r="K194" s="10" t="inlineStr"/>
      <c r="L194" s="10" t="inlineStr"/>
      <c r="M194" s="10" t="inlineStr"/>
    </row>
    <row r="195">
      <c r="A195" s="10" t="n">
        <v>12</v>
      </c>
      <c r="B195" s="10" t="inlineStr">
        <is>
          <t>EXTRA REGRESSION CHECKS FOR SECTIONS 10 AND 11</t>
        </is>
      </c>
      <c r="C195" s="10" t="inlineStr">
        <is>
          <t>12.3</t>
        </is>
      </c>
      <c r="D195" s="10" t="inlineStr">
        <is>
          <t>Regression</t>
        </is>
      </c>
      <c r="E195" s="10" t="inlineStr"/>
      <c r="F195" s="10" t="inlineStr">
        <is>
          <t>Team Players tab (select mode, import, add from evaluations) unchanged by the evaluation-visibility change.</t>
        </is>
      </c>
      <c r="G195" s="10" t="inlineStr"/>
      <c r="H195" s="10" t="inlineStr"/>
      <c r="I195" s="10" t="inlineStr"/>
      <c r="J195" s="10" t="inlineStr"/>
      <c r="K195" s="10" t="inlineStr"/>
      <c r="L195" s="10" t="inlineStr"/>
      <c r="M195" s="10" t="inlineStr"/>
    </row>
    <row r="196">
      <c r="A196" s="10" t="n">
        <v>12</v>
      </c>
      <c r="B196" s="10" t="inlineStr">
        <is>
          <t>EXTRA REGRESSION CHECKS FOR SECTIONS 10 AND 11</t>
        </is>
      </c>
      <c r="C196" s="10" t="inlineStr">
        <is>
          <t>12.4</t>
        </is>
      </c>
      <c r="D196" s="10" t="inlineStr">
        <is>
          <t>Regression</t>
        </is>
      </c>
      <c r="E196" s="10" t="inlineStr"/>
      <c r="F196" s="10" t="inlineStr">
        <is>
          <t>Roster copy: creating an evaluation for a team still copies the team's players in (incl. the big-team "still setting up" message).</t>
        </is>
      </c>
      <c r="G196" s="10" t="inlineStr"/>
      <c r="H196" s="10" t="inlineStr"/>
      <c r="I196" s="10" t="inlineStr"/>
      <c r="J196" s="10" t="inlineStr"/>
      <c r="K196" s="10" t="inlineStr"/>
      <c r="L196" s="10" t="inlineStr"/>
      <c r="M196" s="10" t="inlineStr"/>
    </row>
    <row r="197">
      <c r="A197" s="10" t="n">
        <v>12</v>
      </c>
      <c r="B197" s="10" t="inlineStr">
        <is>
          <t>EXTRA REGRESSION CHECKS FOR SECTIONS 10 AND 11</t>
        </is>
      </c>
      <c r="C197" s="10" t="inlineStr">
        <is>
          <t>12.5</t>
        </is>
      </c>
      <c r="D197" s="10" t="inlineStr">
        <is>
          <t>Regression</t>
        </is>
      </c>
      <c r="E197" s="10" t="inlineStr"/>
      <c r="F197" s="10" t="inlineStr">
        <is>
          <t>Dashboard: Combine Mode, Archived, edit pencil, delete trash, tab switching Evaluations/Teams, bottom nav.</t>
        </is>
      </c>
      <c r="G197" s="10" t="inlineStr"/>
      <c r="H197" s="10" t="inlineStr"/>
      <c r="I197" s="10" t="inlineStr"/>
      <c r="J197" s="10" t="inlineStr"/>
      <c r="K197" s="10" t="inlineStr"/>
      <c r="L197" s="10" t="inlineStr"/>
      <c r="M197" s="10" t="inlineStr"/>
    </row>
    <row r="198">
      <c r="A198" s="10" t="n">
        <v>12</v>
      </c>
      <c r="B198" s="10" t="inlineStr">
        <is>
          <t>EXTRA REGRESSION CHECKS FOR SECTIONS 10 AND 11</t>
        </is>
      </c>
      <c r="C198" s="10" t="inlineStr">
        <is>
          <t>12.6</t>
        </is>
      </c>
      <c r="D198" s="10" t="inlineStr">
        <is>
          <t>Regression</t>
        </is>
      </c>
      <c r="E198" s="10" t="inlineStr"/>
      <c r="F198" s="10" t="inlineStr">
        <is>
          <t>Team Builder: Generate (with and without prompt), friend packages card, saved drafts, undo/redo, export, team detail screen (team-builder-team).</t>
        </is>
      </c>
      <c r="G198" s="10" t="inlineStr"/>
      <c r="H198" s="10" t="inlineStr"/>
      <c r="I198" s="10" t="inlineStr"/>
      <c r="J198" s="10" t="inlineStr"/>
      <c r="K198" s="10" t="inlineStr"/>
      <c r="L198" s="10" t="inlineStr"/>
      <c r="M198" s="10" t="inlineStr"/>
    </row>
    <row r="199">
      <c r="A199" s="10" t="n">
        <v>12</v>
      </c>
      <c r="B199" s="10" t="inlineStr">
        <is>
          <t>EXTRA REGRESSION CHECKS FOR SECTIONS 10 AND 11</t>
        </is>
      </c>
      <c r="C199" s="10" t="inlineStr">
        <is>
          <t>12.7</t>
        </is>
      </c>
      <c r="D199" s="10" t="inlineStr">
        <is>
          <t>Regression</t>
        </is>
      </c>
      <c r="E199" s="10" t="inlineStr"/>
      <c r="F199" s="10" t="inlineStr">
        <is>
          <t>Evaluation Results and Rankings unaffected by any move made in the adjuster (moves change the draft teams only, never scores or the roster).</t>
        </is>
      </c>
      <c r="G199" s="10" t="inlineStr"/>
      <c r="H199" s="10" t="inlineStr"/>
      <c r="I199" s="10" t="inlineStr"/>
      <c r="J199" s="10" t="inlineStr"/>
      <c r="K199" s="10" t="inlineStr"/>
      <c r="L199" s="10" t="inlineStr"/>
      <c r="M199" s="10" t="inlineStr"/>
    </row>
    <row r="200">
      <c r="A200" s="10" t="n">
        <v>12</v>
      </c>
      <c r="B200" s="10" t="inlineStr">
        <is>
          <t>EXTRA REGRESSION CHECKS FOR SECTIONS 10 AND 11</t>
        </is>
      </c>
      <c r="C200" s="10" t="inlineStr">
        <is>
          <t>12.8</t>
        </is>
      </c>
      <c r="D200" s="10" t="inlineStr">
        <is>
          <t>Regression</t>
        </is>
      </c>
      <c r="E200" s="10" t="inlineStr"/>
      <c r="F200" s="10" t="inlineStr">
        <is>
          <t>No new red screens / warnings on cold start.</t>
        </is>
      </c>
      <c r="G200" s="10" t="inlineStr"/>
      <c r="H200" s="10" t="inlineStr"/>
      <c r="I200" s="10" t="inlineStr"/>
      <c r="J200" s="10" t="inlineStr"/>
      <c r="K200" s="10" t="inlineStr"/>
      <c r="L200" s="10" t="inlineStr"/>
      <c r="M200" s="10" t="inlineStr"/>
    </row>
    <row r="201">
      <c r="A201" s="10" t="n">
        <v>12</v>
      </c>
      <c r="B201" s="10" t="inlineStr">
        <is>
          <t>EXTRA REGRESSION CHECKS FOR SECTIONS 10 AND 11</t>
        </is>
      </c>
      <c r="C201" s="10" t="inlineStr">
        <is>
          <t>12.9</t>
        </is>
      </c>
      <c r="D201" s="10" t="inlineStr">
        <is>
          <t>Regression</t>
        </is>
      </c>
      <c r="E201" s="10" t="inlineStr"/>
      <c r="F201" s="10" t="inlineStr">
        <is>
          <t>iOS and Android both checked for every change above.</t>
        </is>
      </c>
      <c r="G201" s="10" t="inlineStr"/>
      <c r="H201" s="10" t="inlineStr"/>
      <c r="I201" s="10" t="inlineStr"/>
      <c r="J201" s="10" t="inlineStr"/>
      <c r="K201" s="10" t="inlineStr"/>
      <c r="L201" s="10" t="inlineStr"/>
      <c r="M201" s="10" t="inlineStr"/>
    </row>
    <row r="202">
      <c r="A202" s="10" t="n">
        <v>13</v>
      </c>
      <c r="B202" s="10" t="inlineStr">
        <is>
          <t>TEAM SCREEN TITLE: "&lt;TEAM NAME&gt; HUB"</t>
        </is>
      </c>
      <c r="C202" s="10" t="inlineStr">
        <is>
          <t>13.1</t>
        </is>
      </c>
      <c r="D202" s="10" t="inlineStr">
        <is>
          <t>Before</t>
        </is>
      </c>
      <c r="E202" s="10" t="inlineStr">
        <is>
          <t>BEFORE</t>
        </is>
      </c>
      <c r="F202" s="10" t="inlineStr">
        <is>
          <t>Home &gt; Teams &gt; open any team. Header at the top reads "Team". Team name only appears in the card below.</t>
        </is>
      </c>
      <c r="G202" s="10" t="inlineStr"/>
      <c r="H202" s="10" t="inlineStr"/>
      <c r="I202" s="10" t="inlineStr"/>
      <c r="J202" s="10" t="inlineStr"/>
      <c r="K202" s="10" t="inlineStr"/>
      <c r="L202" s="10" t="inlineStr"/>
      <c r="M202" s="10" t="inlineStr"/>
    </row>
    <row r="203">
      <c r="A203" s="10" t="n">
        <v>13</v>
      </c>
      <c r="B203" s="10" t="inlineStr">
        <is>
          <t>TEAM SCREEN TITLE: "&lt;TEAM NAME&gt; HUB"</t>
        </is>
      </c>
      <c r="C203" s="10" t="inlineStr">
        <is>
          <t>13.2</t>
        </is>
      </c>
      <c r="D203" s="10" t="inlineStr">
        <is>
          <t>Before</t>
        </is>
      </c>
      <c r="E203" s="10" t="inlineStr">
        <is>
          <t>BEFORE</t>
        </is>
      </c>
      <c r="F203" s="10" t="inlineStr">
        <is>
          <t>Long team name (40+ characters).</t>
        </is>
      </c>
      <c r="G203" s="10" t="inlineStr"/>
      <c r="H203" s="10" t="inlineStr"/>
      <c r="I203" s="10" t="inlineStr"/>
      <c r="J203" s="10" t="inlineStr"/>
      <c r="K203" s="10" t="inlineStr"/>
      <c r="L203" s="10" t="inlineStr"/>
      <c r="M203" s="10" t="inlineStr"/>
    </row>
    <row r="204">
      <c r="A204" s="10" t="n">
        <v>13</v>
      </c>
      <c r="B204" s="10" t="inlineStr">
        <is>
          <t>TEAM SCREEN TITLE: "&lt;TEAM NAME&gt; HUB"</t>
        </is>
      </c>
      <c r="C204" s="10" t="inlineStr">
        <is>
          <t>13.3</t>
        </is>
      </c>
      <c r="D204" s="10" t="inlineStr">
        <is>
          <t>After</t>
        </is>
      </c>
      <c r="E204" s="10" t="inlineStr">
        <is>
          <t>AFTER (expected)</t>
        </is>
      </c>
      <c r="F204" s="10" t="inlineStr">
        <is>
          <t>Header reads "&lt;Team name&gt; Hub" (e.g. "team for testing. 01 Hub").</t>
        </is>
      </c>
      <c r="G204" s="10" t="inlineStr">
        <is>
          <t>Yes</t>
        </is>
      </c>
      <c r="H204" s="10" t="inlineStr"/>
      <c r="I204" s="10" t="inlineStr"/>
      <c r="J204" s="10" t="inlineStr"/>
      <c r="K204" s="10" t="inlineStr"/>
      <c r="L204" s="10" t="inlineStr"/>
      <c r="M204" s="10" t="inlineStr"/>
    </row>
    <row r="205">
      <c r="A205" s="10" t="n">
        <v>13</v>
      </c>
      <c r="B205" s="10" t="inlineStr">
        <is>
          <t>TEAM SCREEN TITLE: "&lt;TEAM NAME&gt; HUB"</t>
        </is>
      </c>
      <c r="C205" s="10" t="inlineStr">
        <is>
          <t>13.4</t>
        </is>
      </c>
      <c r="D205" s="10" t="inlineStr">
        <is>
          <t>After</t>
        </is>
      </c>
      <c r="E205" s="10" t="inlineStr">
        <is>
          <t>AFTER (expected)</t>
        </is>
      </c>
      <c r="F205" s="10" t="inlineStr">
        <is>
          <t>Long name WRAPS onto a second line ("Hub" is never cut off); back arrow still tappable.</t>
        </is>
      </c>
      <c r="G205" s="10" t="inlineStr">
        <is>
          <t>Yes</t>
        </is>
      </c>
      <c r="H205" s="10" t="inlineStr"/>
      <c r="I205" s="10" t="inlineStr"/>
      <c r="J205" s="10" t="inlineStr"/>
      <c r="K205" s="10" t="inlineStr"/>
      <c r="L205" s="10" t="inlineStr"/>
      <c r="M205" s="10" t="inlineStr"/>
    </row>
    <row r="206">
      <c r="A206" s="10" t="n">
        <v>13</v>
      </c>
      <c r="B206" s="10" t="inlineStr">
        <is>
          <t>TEAM SCREEN TITLE: "&lt;TEAM NAME&gt; HUB"</t>
        </is>
      </c>
      <c r="C206" s="10" t="inlineStr">
        <is>
          <t>13.5</t>
        </is>
      </c>
      <c r="D206" s="10" t="inlineStr">
        <is>
          <t>After</t>
        </is>
      </c>
      <c r="E206" s="10" t="inlineStr">
        <is>
          <t>AFTER (expected)</t>
        </is>
      </c>
      <c r="F206" s="10" t="inlineStr">
        <is>
          <t>Name with emoji / accents / very short name ("A").</t>
        </is>
      </c>
      <c r="G206" s="10" t="inlineStr"/>
      <c r="H206" s="10" t="inlineStr"/>
      <c r="I206" s="10" t="inlineStr"/>
      <c r="J206" s="10" t="inlineStr"/>
      <c r="K206" s="10" t="inlineStr"/>
      <c r="L206" s="10" t="inlineStr"/>
      <c r="M206" s="10" t="inlineStr"/>
    </row>
    <row r="207">
      <c r="A207" s="10" t="n">
        <v>13</v>
      </c>
      <c r="B207" s="10" t="inlineStr">
        <is>
          <t>TEAM SCREEN TITLE: "&lt;TEAM NAME&gt; HUB"</t>
        </is>
      </c>
      <c r="C207" s="10" t="inlineStr">
        <is>
          <t>13.6</t>
        </is>
      </c>
      <c r="D207" s="10" t="inlineStr">
        <is>
          <t>After</t>
        </is>
      </c>
      <c r="E207" s="10" t="inlineStr">
        <is>
          <t>AFTER (expected)</t>
        </is>
      </c>
      <c r="F207" s="10" t="inlineStr">
        <is>
          <t>Rename the team (Edit) -&gt; header updates immediately.</t>
        </is>
      </c>
      <c r="G207" s="10" t="inlineStr"/>
      <c r="H207" s="10" t="inlineStr"/>
      <c r="I207" s="10" t="inlineStr"/>
      <c r="J207" s="10" t="inlineStr"/>
      <c r="K207" s="10" t="inlineStr"/>
      <c r="L207" s="10" t="inlineStr"/>
      <c r="M207" s="10" t="inlineStr"/>
    </row>
    <row r="208">
      <c r="A208" s="10" t="n">
        <v>13</v>
      </c>
      <c r="B208" s="10" t="inlineStr">
        <is>
          <t>TEAM SCREEN TITLE: "&lt;TEAM NAME&gt; HUB"</t>
        </is>
      </c>
      <c r="C208" s="10" t="inlineStr">
        <is>
          <t>13.7</t>
        </is>
      </c>
      <c r="D208" s="10" t="inlineStr">
        <is>
          <t>After</t>
        </is>
      </c>
      <c r="E208" s="10" t="inlineStr">
        <is>
          <t>AFTER (expected)</t>
        </is>
      </c>
      <c r="F208" s="10" t="inlineStr">
        <is>
          <t>While the team is still loading / on error the header does not show "undefined Hub" (falls back to "Team Hub" or "Team").</t>
        </is>
      </c>
      <c r="G208" s="10" t="inlineStr"/>
      <c r="H208" s="10" t="inlineStr"/>
      <c r="I208" s="10" t="inlineStr"/>
      <c r="J208" s="10" t="inlineStr"/>
      <c r="K208" s="10" t="inlineStr"/>
      <c r="L208" s="10" t="inlineStr"/>
      <c r="M208" s="10" t="inlineStr"/>
    </row>
    <row r="209">
      <c r="A209" s="10" t="n">
        <v>13</v>
      </c>
      <c r="B209" s="10" t="inlineStr">
        <is>
          <t>TEAM SCREEN TITLE: "&lt;TEAM NAME&gt; HUB"</t>
        </is>
      </c>
      <c r="C209" s="10" t="inlineStr">
        <is>
          <t>13.8</t>
        </is>
      </c>
      <c r="D209" s="10" t="inlineStr">
        <is>
          <t>After</t>
        </is>
      </c>
      <c r="E209" s="10" t="inlineStr">
        <is>
          <t>AFTER (expected)</t>
        </is>
      </c>
      <c r="F209" s="10" t="inlineStr">
        <is>
          <t>Team colour / branded background unchanged.</t>
        </is>
      </c>
      <c r="G209" s="10" t="inlineStr"/>
      <c r="H209" s="10" t="inlineStr"/>
      <c r="I209" s="10" t="inlineStr"/>
      <c r="J209" s="10" t="inlineStr"/>
      <c r="K209" s="10" t="inlineStr"/>
      <c r="L209" s="10" t="inlineStr"/>
      <c r="M209" s="10" t="inlineStr"/>
    </row>
    <row r="210">
      <c r="A210" s="10" t="n">
        <v>13</v>
      </c>
      <c r="B210" s="10" t="inlineStr">
        <is>
          <t>TEAM SCREEN TITLE: "&lt;TEAM NAME&gt; HUB"</t>
        </is>
      </c>
      <c r="C210" s="10" t="inlineStr">
        <is>
          <t>13.9</t>
        </is>
      </c>
      <c r="D210" s="10" t="inlineStr">
        <is>
          <t>After</t>
        </is>
      </c>
      <c r="E210" s="10" t="inlineStr">
        <is>
          <t>AFTER (expected)</t>
        </is>
      </c>
      <c r="F210" s="10" t="inlineStr">
        <is>
          <t>Other team screens (Player card, Season/Schedule, Chat) keep their own titles - no accidental change.</t>
        </is>
      </c>
      <c r="G210" s="10" t="inlineStr"/>
      <c r="H210" s="10" t="inlineStr"/>
      <c r="I210" s="10" t="inlineStr"/>
      <c r="J210" s="10" t="inlineStr"/>
      <c r="K210" s="10" t="inlineStr"/>
      <c r="L210" s="10" t="inlineStr"/>
      <c r="M210" s="10" t="inlineStr"/>
    </row>
    <row r="211">
      <c r="A211" s="10" t="n">
        <v>13</v>
      </c>
      <c r="B211" s="10" t="inlineStr">
        <is>
          <t>TEAM SCREEN TITLE: "&lt;TEAM NAME&gt; HUB"</t>
        </is>
      </c>
      <c r="C211" s="10" t="inlineStr">
        <is>
          <t>13.10</t>
        </is>
      </c>
      <c r="D211" s="10" t="inlineStr">
        <is>
          <t>After</t>
        </is>
      </c>
      <c r="E211" s="10" t="inlineStr">
        <is>
          <t>AFTER (expected)</t>
        </is>
      </c>
      <c r="F211" s="10" t="inlineStr">
        <is>
          <t>Android small phone, large font: header fits in 2 lines max.</t>
        </is>
      </c>
      <c r="G211" s="10" t="inlineStr"/>
      <c r="H211" s="10" t="inlineStr"/>
      <c r="I211" s="10" t="inlineStr"/>
      <c r="J211" s="10" t="inlineStr"/>
      <c r="K211" s="10" t="inlineStr"/>
      <c r="L211" s="10" t="inlineStr"/>
      <c r="M211" s="10" t="inlineStr"/>
    </row>
    <row r="212">
      <c r="A212" s="10" t="n">
        <v>13</v>
      </c>
      <c r="B212" s="10" t="inlineStr">
        <is>
          <t>TEAM SCREEN TITLE: "&lt;TEAM NAME&gt; HUB"</t>
        </is>
      </c>
      <c r="C212" s="10" t="inlineStr">
        <is>
          <t>13.11</t>
        </is>
      </c>
      <c r="D212" s="10" t="inlineStr">
        <is>
          <t>After</t>
        </is>
      </c>
      <c r="E212" s="10" t="inlineStr">
        <is>
          <t>AFTER (expected)</t>
        </is>
      </c>
      <c r="F212" s="10" t="inlineStr">
        <is>
          <t>iPhone and Android look the same.</t>
        </is>
      </c>
      <c r="G212" s="10" t="inlineStr"/>
      <c r="H212" s="10" t="inlineStr"/>
      <c r="I212" s="10" t="inlineStr"/>
      <c r="J212" s="10" t="inlineStr"/>
      <c r="K212" s="10" t="inlineStr"/>
      <c r="L212" s="10" t="inlineStr"/>
      <c r="M212" s="10" t="inlineStr"/>
    </row>
    <row r="213">
      <c r="A213" s="10" t="n">
        <v>14</v>
      </c>
      <c r="B213" s="10" t="inlineStr">
        <is>
          <t>"SETTINGS" TAB RENAMED TO "OPTIONS"</t>
        </is>
      </c>
      <c r="C213" s="10" t="inlineStr">
        <is>
          <t>14.1</t>
        </is>
      </c>
      <c r="D213" s="10" t="inlineStr">
        <is>
          <t>Before</t>
        </is>
      </c>
      <c r="E213" s="10" t="inlineStr">
        <is>
          <t>BEFORE</t>
        </is>
      </c>
      <c r="F213" s="10" t="inlineStr">
        <is>
          <t>Team screen tabs: Schedule / Players / Evaluations / Settings. Last tab reads "Settings".</t>
        </is>
      </c>
      <c r="G213" s="10" t="inlineStr"/>
      <c r="H213" s="10" t="inlineStr"/>
      <c r="I213" s="10" t="inlineStr"/>
      <c r="J213" s="10" t="inlineStr"/>
      <c r="K213" s="10" t="inlineStr"/>
      <c r="L213" s="10" t="inlineStr"/>
      <c r="M213" s="10" t="inlineStr"/>
    </row>
    <row r="214">
      <c r="A214" s="10" t="n">
        <v>14</v>
      </c>
      <c r="B214" s="10" t="inlineStr">
        <is>
          <t>"SETTINGS" TAB RENAMED TO "OPTIONS"</t>
        </is>
      </c>
      <c r="C214" s="10" t="inlineStr">
        <is>
          <t>14.2</t>
        </is>
      </c>
      <c r="D214" s="10" t="inlineStr">
        <is>
          <t>Before</t>
        </is>
      </c>
      <c r="E214" s="10" t="inlineStr">
        <is>
          <t>BEFORE</t>
        </is>
      </c>
      <c r="F214" s="10" t="inlineStr">
        <is>
          <t>Note every place the word "Settings" refers to the team tab (alerts, onboarding text, links).</t>
        </is>
      </c>
      <c r="G214" s="10" t="inlineStr"/>
      <c r="H214" s="10" t="inlineStr"/>
      <c r="I214" s="10" t="inlineStr"/>
      <c r="J214" s="10" t="inlineStr"/>
      <c r="K214" s="10" t="inlineStr"/>
      <c r="L214" s="10" t="inlineStr"/>
      <c r="M214" s="10" t="inlineStr"/>
    </row>
    <row r="215">
      <c r="A215" s="10" t="n">
        <v>14</v>
      </c>
      <c r="B215" s="10" t="inlineStr">
        <is>
          <t>"SETTINGS" TAB RENAMED TO "OPTIONS"</t>
        </is>
      </c>
      <c r="C215" s="10" t="inlineStr">
        <is>
          <t>14.3</t>
        </is>
      </c>
      <c r="D215" s="10" t="inlineStr">
        <is>
          <t>After</t>
        </is>
      </c>
      <c r="E215" s="10" t="inlineStr">
        <is>
          <t>AFTER (expected)</t>
        </is>
      </c>
      <c r="F215" s="10" t="inlineStr">
        <is>
          <t>Last tab reads "Options" (same position, same content: Team Managers, Dummy Data, Danger Zone + new items below).</t>
        </is>
      </c>
      <c r="G215" s="10" t="inlineStr">
        <is>
          <t>Yes</t>
        </is>
      </c>
      <c r="H215" s="10" t="inlineStr"/>
      <c r="I215" s="10" t="inlineStr"/>
      <c r="J215" s="10" t="inlineStr"/>
      <c r="K215" s="10" t="inlineStr"/>
      <c r="L215" s="10" t="inlineStr"/>
      <c r="M215" s="10" t="inlineStr"/>
    </row>
    <row r="216">
      <c r="A216" s="10" t="n">
        <v>14</v>
      </c>
      <c r="B216" s="10" t="inlineStr">
        <is>
          <t>"SETTINGS" TAB RENAMED TO "OPTIONS"</t>
        </is>
      </c>
      <c r="C216" s="10" t="inlineStr">
        <is>
          <t>14.4</t>
        </is>
      </c>
      <c r="D216" s="10" t="inlineStr">
        <is>
          <t>After</t>
        </is>
      </c>
      <c r="E216" s="10" t="inlineStr">
        <is>
          <t>AFTER (expected)</t>
        </is>
      </c>
      <c r="F216" s="10" t="inlineStr">
        <is>
          <t>The tab still fits on a small phone (tab strip scrolls; nothing cut off).</t>
        </is>
      </c>
      <c r="G216" s="10" t="inlineStr"/>
      <c r="H216" s="10" t="inlineStr"/>
      <c r="I216" s="10" t="inlineStr"/>
      <c r="J216" s="10" t="inlineStr"/>
      <c r="K216" s="10" t="inlineStr"/>
      <c r="L216" s="10" t="inlineStr"/>
      <c r="M216" s="10" t="inlineStr"/>
    </row>
    <row r="217">
      <c r="A217" s="10" t="n">
        <v>14</v>
      </c>
      <c r="B217" s="10" t="inlineStr">
        <is>
          <t>"SETTINGS" TAB RENAMED TO "OPTIONS"</t>
        </is>
      </c>
      <c r="C217" s="10" t="inlineStr">
        <is>
          <t>14.5</t>
        </is>
      </c>
      <c r="D217" s="10" t="inlineStr">
        <is>
          <t>After</t>
        </is>
      </c>
      <c r="E217" s="10" t="inlineStr">
        <is>
          <t>AFTER (expected)</t>
        </is>
      </c>
      <c r="F217" s="10" t="inlineStr">
        <is>
          <t>Anything that used to deep-link to the team Settings tab (for example after creating a team, or the Team Managers prompt) still lands on Options.</t>
        </is>
      </c>
      <c r="G217" s="10" t="inlineStr"/>
      <c r="H217" s="10" t="inlineStr"/>
      <c r="I217" s="10" t="inlineStr"/>
      <c r="J217" s="10" t="inlineStr"/>
      <c r="K217" s="10" t="inlineStr"/>
      <c r="L217" s="10" t="inlineStr"/>
      <c r="M217" s="10" t="inlineStr"/>
    </row>
    <row r="218">
      <c r="A218" s="10" t="n">
        <v>14</v>
      </c>
      <c r="B218" s="10" t="inlineStr">
        <is>
          <t>"SETTINGS" TAB RENAMED TO "OPTIONS"</t>
        </is>
      </c>
      <c r="C218" s="10" t="inlineStr">
        <is>
          <t>14.6</t>
        </is>
      </c>
      <c r="D218" s="10" t="inlineStr">
        <is>
          <t>After</t>
        </is>
      </c>
      <c r="E218" s="10" t="inlineStr">
        <is>
          <t>AFTER (expected)</t>
        </is>
      </c>
      <c r="F218" s="10" t="inlineStr">
        <is>
          <t>Text elsewhere that says "Settings" for a TEAM now says "Options"; EVALUATION settings and Profile settings still say "Settings" (do not rename those).</t>
        </is>
      </c>
      <c r="G218" s="10" t="inlineStr"/>
      <c r="H218" s="10" t="inlineStr"/>
      <c r="I218" s="10" t="inlineStr"/>
      <c r="J218" s="10" t="inlineStr"/>
      <c r="K218" s="10" t="inlineStr"/>
      <c r="L218" s="10" t="inlineStr"/>
      <c r="M218" s="10" t="inlineStr"/>
    </row>
    <row r="219">
      <c r="A219" s="10" t="n">
        <v>14</v>
      </c>
      <c r="B219" s="10" t="inlineStr">
        <is>
          <t>"SETTINGS" TAB RENAMED TO "OPTIONS"</t>
        </is>
      </c>
      <c r="C219" s="10" t="inlineStr">
        <is>
          <t>14.7</t>
        </is>
      </c>
      <c r="D219" s="10" t="inlineStr">
        <is>
          <t>After</t>
        </is>
      </c>
      <c r="E219" s="10" t="inlineStr">
        <is>
          <t>AFTER (expected)</t>
        </is>
      </c>
      <c r="F219" s="10" t="inlineStr">
        <is>
          <t>Delegated club manager: Options tab visible with the same limited content as before.</t>
        </is>
      </c>
      <c r="G219" s="10" t="inlineStr"/>
      <c r="H219" s="10" t="inlineStr"/>
      <c r="I219" s="10" t="inlineStr"/>
      <c r="J219" s="10" t="inlineStr"/>
      <c r="K219" s="10" t="inlineStr"/>
      <c r="L219" s="10" t="inlineStr"/>
      <c r="M219" s="10" t="inlineStr"/>
    </row>
    <row r="220">
      <c r="A220" s="10" t="n">
        <v>14</v>
      </c>
      <c r="B220" s="10" t="inlineStr">
        <is>
          <t>"SETTINGS" TAB RENAMED TO "OPTIONS"</t>
        </is>
      </c>
      <c r="C220" s="10" t="inlineStr">
        <is>
          <t>14.8</t>
        </is>
      </c>
      <c r="D220" s="10" t="inlineStr">
        <is>
          <t>After</t>
        </is>
      </c>
      <c r="E220" s="10" t="inlineStr">
        <is>
          <t>AFTER (expected)</t>
        </is>
      </c>
      <c r="F220" s="10" t="inlineStr">
        <is>
          <t>Team Managers card, Dummy Data, Delete Team all still work.</t>
        </is>
      </c>
      <c r="G220" s="10" t="inlineStr"/>
      <c r="H220" s="10" t="inlineStr"/>
      <c r="I220" s="10" t="inlineStr"/>
      <c r="J220" s="10" t="inlineStr"/>
      <c r="K220" s="10" t="inlineStr"/>
      <c r="L220" s="10" t="inlineStr"/>
      <c r="M220" s="10" t="inlineStr"/>
    </row>
    <row r="221">
      <c r="A221" s="10" t="n">
        <v>14</v>
      </c>
      <c r="B221" s="10" t="inlineStr">
        <is>
          <t>"SETTINGS" TAB RENAMED TO "OPTIONS"</t>
        </is>
      </c>
      <c r="C221" s="10" t="inlineStr">
        <is>
          <t>14.9</t>
        </is>
      </c>
      <c r="D221" s="10" t="inlineStr">
        <is>
          <t>After</t>
        </is>
      </c>
      <c r="E221" s="10" t="inlineStr">
        <is>
          <t>AFTER (expected)</t>
        </is>
      </c>
      <c r="F221" s="10" t="inlineStr">
        <is>
          <t>Tab badge counts (Players, Schedule, Evaluations) unaffected.</t>
        </is>
      </c>
      <c r="G221" s="10" t="inlineStr"/>
      <c r="H221" s="10" t="inlineStr"/>
      <c r="I221" s="10" t="inlineStr"/>
      <c r="J221" s="10" t="inlineStr"/>
      <c r="K221" s="10" t="inlineStr"/>
      <c r="L221" s="10" t="inlineStr"/>
      <c r="M221" s="10" t="inlineStr"/>
    </row>
    <row r="222">
      <c r="A222" s="10" t="n">
        <v>15</v>
      </c>
      <c r="B222" s="10" t="inlineStr">
        <is>
          <t>EXPORT TEAM (PDF OR EXCEL)</t>
        </is>
      </c>
      <c r="C222" s="10" t="inlineStr">
        <is>
          <t>15.1</t>
        </is>
      </c>
      <c r="D222" s="10" t="inlineStr">
        <is>
          <t>Before</t>
        </is>
      </c>
      <c r="E222" s="10" t="inlineStr">
        <is>
          <t>BEFORE</t>
        </is>
      </c>
      <c r="F222" s="10" t="inlineStr">
        <is>
          <t>Team &gt; Settings tab: look for an export control. Expected: none. Only Team Builder splits export XLSX/PDF.</t>
        </is>
      </c>
      <c r="G222" s="10" t="inlineStr"/>
      <c r="H222" s="10" t="inlineStr"/>
      <c r="I222" s="10" t="inlineStr"/>
      <c r="J222" s="10" t="inlineStr"/>
      <c r="K222" s="10" t="inlineStr"/>
      <c r="L222" s="10" t="inlineStr"/>
      <c r="M222" s="10" t="inlineStr"/>
    </row>
    <row r="223">
      <c r="A223" s="10" t="n">
        <v>15</v>
      </c>
      <c r="B223" s="10" t="inlineStr">
        <is>
          <t>EXPORT TEAM (PDF OR EXCEL)</t>
        </is>
      </c>
      <c r="C223" s="10" t="inlineStr">
        <is>
          <t>15.2</t>
        </is>
      </c>
      <c r="D223" s="10" t="inlineStr">
        <is>
          <t>After</t>
        </is>
      </c>
      <c r="E223" s="10" t="inlineStr">
        <is>
          <t>AFTER (expected)</t>
        </is>
      </c>
      <c r="F223" s="10" t="inlineStr">
        <is>
          <t>Options tab has an "Export Team" card with Excel and PDF buttons.</t>
        </is>
      </c>
      <c r="G223" s="10" t="inlineStr">
        <is>
          <t>Yes</t>
        </is>
      </c>
      <c r="H223" s="10" t="inlineStr"/>
      <c r="I223" s="10" t="inlineStr"/>
      <c r="J223" s="10" t="inlineStr"/>
      <c r="K223" s="10" t="inlineStr"/>
      <c r="L223" s="10" t="inlineStr"/>
      <c r="M223" s="10" t="inlineStr"/>
    </row>
    <row r="224">
      <c r="A224" s="10" t="n">
        <v>15</v>
      </c>
      <c r="B224" s="10" t="inlineStr">
        <is>
          <t>EXPORT TEAM (PDF OR EXCEL)</t>
        </is>
      </c>
      <c r="C224" s="10" t="inlineStr">
        <is>
          <t>15.3</t>
        </is>
      </c>
      <c r="D224" s="10" t="inlineStr">
        <is>
          <t>After</t>
        </is>
      </c>
      <c r="E224" s="10" t="inlineStr">
        <is>
          <t>AFTER (expected)</t>
        </is>
      </c>
      <c r="F224" s="10" t="inlineStr">
        <is>
          <t>Excel: one row per player. Confirm the columns with Shawn (suggested: Name, Jersey, Position, Year of birth, Guardian name, guardian email/phone, player email, fee status, source evaluation). Opens correctly in Excel / Google Sheets / Numbers.</t>
        </is>
      </c>
      <c r="G224" s="10" t="inlineStr"/>
      <c r="H224" s="10" t="inlineStr"/>
      <c r="I224" s="10" t="inlineStr"/>
      <c r="J224" s="10" t="inlineStr"/>
      <c r="K224" s="10" t="inlineStr"/>
      <c r="L224" s="10" t="inlineStr"/>
      <c r="M224" s="10" t="inlineStr"/>
    </row>
    <row r="225">
      <c r="A225" s="10" t="n">
        <v>15</v>
      </c>
      <c r="B225" s="10" t="inlineStr">
        <is>
          <t>EXPORT TEAM (PDF OR EXCEL)</t>
        </is>
      </c>
      <c r="C225" s="10" t="inlineStr">
        <is>
          <t>15.4</t>
        </is>
      </c>
      <c r="D225" s="10" t="inlineStr">
        <is>
          <t>After</t>
        </is>
      </c>
      <c r="E225" s="10" t="inlineStr">
        <is>
          <t>AFTER (expected)</t>
        </is>
      </c>
      <c r="F225" s="10" t="inlineStr">
        <is>
          <t>PDF: readable table with team name + season on top; page breaks on long rosters; not cut off on the right.</t>
        </is>
      </c>
      <c r="G225" s="10" t="inlineStr"/>
      <c r="H225" s="10" t="inlineStr"/>
      <c r="I225" s="10" t="inlineStr"/>
      <c r="J225" s="10" t="inlineStr"/>
      <c r="K225" s="10" t="inlineStr"/>
      <c r="L225" s="10" t="inlineStr"/>
      <c r="M225" s="10" t="inlineStr"/>
    </row>
    <row r="226">
      <c r="A226" s="10" t="n">
        <v>15</v>
      </c>
      <c r="B226" s="10" t="inlineStr">
        <is>
          <t>EXPORT TEAM (PDF OR EXCEL)</t>
        </is>
      </c>
      <c r="C226" s="10" t="inlineStr">
        <is>
          <t>15.5</t>
        </is>
      </c>
      <c r="D226" s="10" t="inlineStr">
        <is>
          <t>After</t>
        </is>
      </c>
      <c r="E226" s="10" t="inlineStr">
        <is>
          <t>AFTER (expected)</t>
        </is>
      </c>
      <c r="F226" s="10" t="inlineStr">
        <is>
          <t>Team of 999 players: export completes (progress or a spinner), no freeze, file contains all 999 rows (not just the 50 loaded on the Players tab). (Excel: iOS share sheet showed "team-for-testing-01-roster, 495 KB" - verified in simulator; rows/columns/PDF pages verified by script.)</t>
        </is>
      </c>
      <c r="G226" s="10" t="inlineStr">
        <is>
          <t>Yes</t>
        </is>
      </c>
      <c r="H226" s="10" t="inlineStr"/>
      <c r="I226" s="10" t="inlineStr"/>
      <c r="J226" s="10" t="inlineStr"/>
      <c r="K226" s="10" t="inlineStr"/>
      <c r="L226" s="10" t="inlineStr"/>
      <c r="M226" s="10" t="inlineStr"/>
    </row>
    <row r="227">
      <c r="A227" s="10" t="n">
        <v>15</v>
      </c>
      <c r="B227" s="10" t="inlineStr">
        <is>
          <t>EXPORT TEAM (PDF OR EXCEL)</t>
        </is>
      </c>
      <c r="C227" s="10" t="inlineStr">
        <is>
          <t>15.6</t>
        </is>
      </c>
      <c r="D227" s="10" t="inlineStr">
        <is>
          <t>After</t>
        </is>
      </c>
      <c r="E227" s="10" t="inlineStr">
        <is>
          <t>AFTER (expected)</t>
        </is>
      </c>
      <c r="F227" s="10" t="inlineStr">
        <is>
          <t>Empty team: friendly message ("no players to export"), no empty file shared.</t>
        </is>
      </c>
      <c r="G227" s="10" t="inlineStr"/>
      <c r="H227" s="10" t="inlineStr"/>
      <c r="I227" s="10" t="inlineStr"/>
      <c r="J227" s="10" t="inlineStr"/>
      <c r="K227" s="10" t="inlineStr"/>
      <c r="L227" s="10" t="inlineStr"/>
      <c r="M227" s="10" t="inlineStr"/>
    </row>
    <row r="228">
      <c r="A228" s="10" t="n">
        <v>15</v>
      </c>
      <c r="B228" s="10" t="inlineStr">
        <is>
          <t>EXPORT TEAM (PDF OR EXCEL)</t>
        </is>
      </c>
      <c r="C228" s="10" t="inlineStr">
        <is>
          <t>15.7</t>
        </is>
      </c>
      <c r="D228" s="10" t="inlineStr">
        <is>
          <t>After</t>
        </is>
      </c>
      <c r="E228" s="10" t="inlineStr">
        <is>
          <t>AFTER (expected)</t>
        </is>
      </c>
      <c r="F228" s="10" t="inlineStr">
        <is>
          <t>File name is sensible (team name + date), no illegal characters for names with / : ? etc.</t>
        </is>
      </c>
      <c r="G228" s="10" t="inlineStr"/>
      <c r="H228" s="10" t="inlineStr"/>
      <c r="I228" s="10" t="inlineStr"/>
      <c r="J228" s="10" t="inlineStr"/>
      <c r="K228" s="10" t="inlineStr"/>
      <c r="L228" s="10" t="inlineStr"/>
      <c r="M228" s="10" t="inlineStr"/>
    </row>
    <row r="229">
      <c r="A229" s="10" t="n">
        <v>15</v>
      </c>
      <c r="B229" s="10" t="inlineStr">
        <is>
          <t>EXPORT TEAM (PDF OR EXCEL)</t>
        </is>
      </c>
      <c r="C229" s="10" t="inlineStr">
        <is>
          <t>15.8</t>
        </is>
      </c>
      <c r="D229" s="10" t="inlineStr">
        <is>
          <t>After</t>
        </is>
      </c>
      <c r="E229" s="10" t="inlineStr">
        <is>
          <t>AFTER (expected)</t>
        </is>
      </c>
      <c r="F229" s="10" t="inlineStr">
        <is>
          <t>Share sheet on Android and iOS: save to Files, email, Drive.</t>
        </is>
      </c>
      <c r="G229" s="10" t="inlineStr"/>
      <c r="H229" s="10" t="inlineStr"/>
      <c r="I229" s="10" t="inlineStr"/>
      <c r="J229" s="10" t="inlineStr"/>
      <c r="K229" s="10" t="inlineStr"/>
      <c r="L229" s="10" t="inlineStr"/>
      <c r="M229" s="10" t="inlineStr"/>
    </row>
    <row r="230">
      <c r="A230" s="10" t="n">
        <v>15</v>
      </c>
      <c r="B230" s="10" t="inlineStr">
        <is>
          <t>EXPORT TEAM (PDF OR EXCEL)</t>
        </is>
      </c>
      <c r="C230" s="10" t="inlineStr">
        <is>
          <t>15.9</t>
        </is>
      </c>
      <c r="D230" s="10" t="inlineStr">
        <is>
          <t>After</t>
        </is>
      </c>
      <c r="E230" s="10" t="inlineStr">
        <is>
          <t>AFTER (expected)</t>
        </is>
      </c>
      <c r="F230" s="10" t="inlineStr">
        <is>
          <t>Privacy: medical info is NOT included ; guardian contact only visible to coach/manager roles.</t>
        </is>
      </c>
      <c r="G230" s="10" t="inlineStr"/>
      <c r="H230" s="10" t="inlineStr"/>
      <c r="I230" s="10" t="inlineStr"/>
      <c r="J230" s="10" t="inlineStr"/>
      <c r="K230" s="10" t="inlineStr"/>
      <c r="L230" s="10" t="inlineStr"/>
      <c r="M230" s="10" t="inlineStr"/>
    </row>
    <row r="231">
      <c r="A231" s="10" t="n">
        <v>15</v>
      </c>
      <c r="B231" s="10" t="inlineStr">
        <is>
          <t>EXPORT TEAM (PDF OR EXCEL)</t>
        </is>
      </c>
      <c r="C231" s="10" t="inlineStr">
        <is>
          <t>15.10</t>
        </is>
      </c>
      <c r="D231" s="10" t="inlineStr">
        <is>
          <t>After</t>
        </is>
      </c>
      <c r="E231" s="10" t="inlineStr">
        <is>
          <t>AFTER (expected)</t>
        </is>
      </c>
      <c r="F231" s="10" t="inlineStr">
        <is>
          <t>Permissions: delegated club manager - export allowed or hidden (decide); guardian/assessor accounts never see it.</t>
        </is>
      </c>
      <c r="G231" s="10" t="inlineStr"/>
      <c r="H231" s="10" t="inlineStr"/>
      <c r="I231" s="10" t="inlineStr"/>
      <c r="J231" s="10" t="inlineStr"/>
      <c r="K231" s="10" t="inlineStr"/>
      <c r="L231" s="10" t="inlineStr"/>
      <c r="M231" s="10" t="inlineStr"/>
    </row>
    <row r="232">
      <c r="A232" s="10" t="n">
        <v>15</v>
      </c>
      <c r="B232" s="10" t="inlineStr">
        <is>
          <t>EXPORT TEAM (PDF OR EXCEL)</t>
        </is>
      </c>
      <c r="C232" s="10" t="inlineStr">
        <is>
          <t>15.11</t>
        </is>
      </c>
      <c r="D232" s="10" t="inlineStr">
        <is>
          <t>After</t>
        </is>
      </c>
      <c r="E232" s="10" t="inlineStr">
        <is>
          <t>AFTER (expected)</t>
        </is>
      </c>
      <c r="F232" s="10" t="inlineStr">
        <is>
          <t>Airplane mode: clear error, no half-written file.</t>
        </is>
      </c>
      <c r="G232" s="10" t="inlineStr"/>
      <c r="H232" s="10" t="inlineStr"/>
      <c r="I232" s="10" t="inlineStr"/>
      <c r="J232" s="10" t="inlineStr"/>
      <c r="K232" s="10" t="inlineStr"/>
      <c r="L232" s="10" t="inlineStr"/>
      <c r="M232" s="10" t="inlineStr"/>
    </row>
    <row r="233">
      <c r="A233" s="10" t="n">
        <v>15</v>
      </c>
      <c r="B233" s="10" t="inlineStr">
        <is>
          <t>EXPORT TEAM (PDF OR EXCEL)</t>
        </is>
      </c>
      <c r="C233" s="10" t="inlineStr">
        <is>
          <t>15.12</t>
        </is>
      </c>
      <c r="D233" s="10" t="inlineStr">
        <is>
          <t>After</t>
        </is>
      </c>
      <c r="E233" s="10" t="inlineStr">
        <is>
          <t>AFTER (expected)</t>
        </is>
      </c>
      <c r="F233" s="10" t="inlineStr">
        <is>
          <t>Data matches the Players tab: same names, jerseys, positions; a player removed a minute ago is not in the file.</t>
        </is>
      </c>
      <c r="G233" s="10" t="inlineStr"/>
      <c r="H233" s="10" t="inlineStr"/>
      <c r="I233" s="10" t="inlineStr"/>
      <c r="J233" s="10" t="inlineStr"/>
      <c r="K233" s="10" t="inlineStr"/>
      <c r="L233" s="10" t="inlineStr"/>
      <c r="M233" s="10" t="inlineStr"/>
    </row>
    <row r="234">
      <c r="A234" s="10" t="n">
        <v>15</v>
      </c>
      <c r="B234" s="10" t="inlineStr">
        <is>
          <t>EXPORT TEAM (PDF OR EXCEL)</t>
        </is>
      </c>
      <c r="C234" s="10" t="inlineStr">
        <is>
          <t>15.13</t>
        </is>
      </c>
      <c r="D234" s="10" t="inlineStr">
        <is>
          <t>After</t>
        </is>
      </c>
      <c r="E234" s="10" t="inlineStr">
        <is>
          <t>AFTER (expected)</t>
        </is>
      </c>
      <c r="F234" s="10" t="inlineStr">
        <is>
          <t>Dummy players ("testing for delete" test team) export fine, special characters (accents, apostrophes, commas in names) are preserved and not broken across columns.</t>
        </is>
      </c>
      <c r="G234" s="10" t="inlineStr"/>
      <c r="H234" s="10" t="inlineStr"/>
      <c r="I234" s="10" t="inlineStr"/>
      <c r="J234" s="10" t="inlineStr"/>
      <c r="K234" s="10" t="inlineStr"/>
      <c r="L234" s="10" t="inlineStr"/>
      <c r="M234" s="10" t="inlineStr"/>
    </row>
    <row r="235">
      <c r="A235" s="10" t="n">
        <v>15</v>
      </c>
      <c r="B235" s="10" t="inlineStr">
        <is>
          <t>EXPORT TEAM (PDF OR EXCEL)</t>
        </is>
      </c>
      <c r="C235" s="10" t="inlineStr">
        <is>
          <t>15.14</t>
        </is>
      </c>
      <c r="D235" s="10" t="inlineStr">
        <is>
          <t>After</t>
        </is>
      </c>
      <c r="E235" s="10" t="inlineStr">
        <is>
          <t>AFTER (expected)</t>
        </is>
      </c>
      <c r="F235" s="10" t="inlineStr">
        <is>
          <t>Team Builder XLSX/PDF export (existing) still works.</t>
        </is>
      </c>
      <c r="G235" s="10" t="inlineStr"/>
      <c r="H235" s="10" t="inlineStr"/>
      <c r="I235" s="10" t="inlineStr"/>
      <c r="J235" s="10" t="inlineStr"/>
      <c r="K235" s="10" t="inlineStr"/>
      <c r="L235" s="10" t="inlineStr"/>
      <c r="M235" s="10" t="inlineStr"/>
    </row>
    <row r="236">
      <c r="A236" s="10" t="n">
        <v>16</v>
      </c>
      <c r="B236" s="10" t="inlineStr">
        <is>
          <t>LETTER TEMPLATES IN THE TEAM'S OPTIONS</t>
        </is>
      </c>
      <c r="C236" s="10" t="inlineStr">
        <is>
          <t>16.1</t>
        </is>
      </c>
      <c r="D236" s="10" t="inlineStr">
        <is>
          <t>Before</t>
        </is>
      </c>
      <c r="E236" s="10" t="inlineStr">
        <is>
          <t>BEFORE</t>
        </is>
      </c>
      <c r="F236" s="10" t="inlineStr">
        <is>
          <t>Team &gt; Settings: no letters anywhere.</t>
        </is>
      </c>
      <c r="G236" s="10" t="inlineStr"/>
      <c r="H236" s="10" t="inlineStr"/>
      <c r="I236" s="10" t="inlineStr"/>
      <c r="J236" s="10" t="inlineStr"/>
      <c r="K236" s="10" t="inlineStr"/>
      <c r="L236" s="10" t="inlineStr"/>
      <c r="M236" s="10" t="inlineStr"/>
    </row>
    <row r="237">
      <c r="A237" s="10" t="n">
        <v>16</v>
      </c>
      <c r="B237" s="10" t="inlineStr">
        <is>
          <t>LETTER TEMPLATES IN THE TEAM'S OPTIONS</t>
        </is>
      </c>
      <c r="C237" s="10" t="inlineStr">
        <is>
          <t>16.2</t>
        </is>
      </c>
      <c r="D237" s="10" t="inlineStr">
        <is>
          <t>Before</t>
        </is>
      </c>
      <c r="E237" s="10" t="inlineStr">
        <is>
          <t>BEFORE</t>
        </is>
      </c>
      <c r="F237" s="10" t="inlineStr">
        <is>
          <t>To reach templates today: open an evaluation &gt; Results &gt; Player Selection Letters. Note taps needed.</t>
        </is>
      </c>
      <c r="G237" s="10" t="inlineStr"/>
      <c r="H237" s="10" t="inlineStr"/>
      <c r="I237" s="10" t="inlineStr"/>
      <c r="J237" s="10" t="inlineStr"/>
      <c r="K237" s="10" t="inlineStr"/>
      <c r="L237" s="10" t="inlineStr"/>
      <c r="M237" s="10" t="inlineStr"/>
    </row>
    <row r="238">
      <c r="A238" s="10" t="n">
        <v>16</v>
      </c>
      <c r="B238" s="10" t="inlineStr">
        <is>
          <t>LETTER TEMPLATES IN THE TEAM'S OPTIONS</t>
        </is>
      </c>
      <c r="C238" s="10" t="inlineStr">
        <is>
          <t>16.3</t>
        </is>
      </c>
      <c r="D238" s="10" t="inlineStr">
        <is>
          <t>After</t>
        </is>
      </c>
      <c r="E238" s="10" t="inlineStr">
        <is>
          <t>AFTER (expected)</t>
        </is>
      </c>
      <c r="F238" s="10" t="inlineStr">
        <is>
          <t>Options tab shows a "Player Selection Letters" card naming the Offer Letter and Roster Decision Letter, with one button per linked evaluation.</t>
        </is>
      </c>
      <c r="G238" s="10" t="inlineStr">
        <is>
          <t>Yes</t>
        </is>
      </c>
      <c r="H238" s="10" t="inlineStr"/>
      <c r="I238" s="10" t="inlineStr"/>
      <c r="J238" s="10" t="inlineStr"/>
      <c r="K238" s="10" t="inlineStr"/>
      <c r="L238" s="10" t="inlineStr"/>
      <c r="M238" s="10" t="inlineStr"/>
    </row>
    <row r="239">
      <c r="A239" s="10" t="n">
        <v>16</v>
      </c>
      <c r="B239" s="10" t="inlineStr">
        <is>
          <t>LETTER TEMPLATES IN THE TEAM'S OPTIONS</t>
        </is>
      </c>
      <c r="C239" s="10" t="inlineStr">
        <is>
          <t>16.4</t>
        </is>
      </c>
      <c r="D239" s="10" t="inlineStr">
        <is>
          <t>After</t>
        </is>
      </c>
      <c r="E239" s="10" t="inlineStr">
        <is>
          <t>AFTER (expected)</t>
        </is>
      </c>
      <c r="F239" s="10" t="inlineStr">
        <is>
          <t>Tapping an evaluation opens ITS Letters screen with the same templates.</t>
        </is>
      </c>
      <c r="G239" s="10" t="inlineStr">
        <is>
          <t>Yes</t>
        </is>
      </c>
      <c r="H239" s="10" t="inlineStr"/>
      <c r="I239" s="10" t="inlineStr"/>
      <c r="J239" s="10" t="inlineStr"/>
      <c r="K239" s="10" t="inlineStr"/>
      <c r="L239" s="10" t="inlineStr"/>
      <c r="M239" s="10" t="inlineStr"/>
    </row>
    <row r="240">
      <c r="A240" s="10" t="n">
        <v>16</v>
      </c>
      <c r="B240" s="10" t="inlineStr">
        <is>
          <t>LETTER TEMPLATES IN THE TEAM'S OPTIONS</t>
        </is>
      </c>
      <c r="C240" s="10" t="inlineStr">
        <is>
          <t>16.5</t>
        </is>
      </c>
      <c r="D240" s="10" t="inlineStr">
        <is>
          <t>After</t>
        </is>
      </c>
      <c r="E240" s="10" t="inlineStr">
        <is>
          <t>AFTER (expected)</t>
        </is>
      </c>
      <c r="F240" s="10" t="inlineStr">
        <is>
          <t>Create / delete a template from Options works the same as from the evaluation screen.</t>
        </is>
      </c>
      <c r="G240" s="10" t="inlineStr"/>
      <c r="H240" s="10" t="inlineStr"/>
      <c r="I240" s="10" t="inlineStr"/>
      <c r="J240" s="10" t="inlineStr"/>
      <c r="K240" s="10" t="inlineStr"/>
      <c r="L240" s="10" t="inlineStr"/>
      <c r="M240" s="10" t="inlineStr"/>
    </row>
    <row r="241">
      <c r="A241" s="10" t="n">
        <v>16</v>
      </c>
      <c r="B241" s="10" t="inlineStr">
        <is>
          <t>LETTER TEMPLATES IN THE TEAM'S OPTIONS</t>
        </is>
      </c>
      <c r="C241" s="10" t="inlineStr">
        <is>
          <t>16.6</t>
        </is>
      </c>
      <c r="D241" s="10" t="inlineStr">
        <is>
          <t>After</t>
        </is>
      </c>
      <c r="E241" s="10" t="inlineStr">
        <is>
          <t>AFTER (expected)</t>
        </is>
      </c>
      <c r="F241" s="10" t="inlineStr">
        <is>
          <t>Team with NO linked evaluation: Options explains how to send (link/create an evaluation) instead of a dead button.</t>
        </is>
      </c>
      <c r="G241" s="10" t="inlineStr"/>
      <c r="H241" s="10" t="inlineStr"/>
      <c r="I241" s="10" t="inlineStr"/>
      <c r="J241" s="10" t="inlineStr"/>
      <c r="K241" s="10" t="inlineStr"/>
      <c r="L241" s="10" t="inlineStr"/>
      <c r="M241" s="10" t="inlineStr"/>
    </row>
    <row r="242">
      <c r="A242" s="10" t="n">
        <v>16</v>
      </c>
      <c r="B242" s="10" t="inlineStr">
        <is>
          <t>LETTER TEMPLATES IN THE TEAM'S OPTIONS</t>
        </is>
      </c>
      <c r="C242" s="10" t="inlineStr">
        <is>
          <t>16.7</t>
        </is>
      </c>
      <c r="D242" s="10" t="inlineStr">
        <is>
          <t>After</t>
        </is>
      </c>
      <c r="E242" s="10" t="inlineStr">
        <is>
          <t>AFTER (expected)</t>
        </is>
      </c>
      <c r="F242" s="10" t="inlineStr">
        <is>
          <t>Team with one linked evaluation: button reads "Open Letters - &lt;evaluation&gt;" and opens that evaluation's Letters flow.</t>
        </is>
      </c>
      <c r="G242" s="10" t="inlineStr"/>
      <c r="H242" s="10" t="inlineStr"/>
      <c r="I242" s="10" t="inlineStr"/>
      <c r="J242" s="10" t="inlineStr"/>
      <c r="K242" s="10" t="inlineStr"/>
      <c r="L242" s="10" t="inlineStr"/>
      <c r="M242" s="10" t="inlineStr"/>
    </row>
    <row r="243">
      <c r="A243" s="10" t="n">
        <v>16</v>
      </c>
      <c r="B243" s="10" t="inlineStr">
        <is>
          <t>LETTER TEMPLATES IN THE TEAM'S OPTIONS</t>
        </is>
      </c>
      <c r="C243" s="10" t="inlineStr">
        <is>
          <t>16.8</t>
        </is>
      </c>
      <c r="D243" s="10" t="inlineStr">
        <is>
          <t>After</t>
        </is>
      </c>
      <c r="E243" s="10" t="inlineStr">
        <is>
          <t>AFTER (expected)</t>
        </is>
      </c>
      <c r="F243" s="10" t="inlineStr">
        <is>
          <t>Team with several linked evaluations: asks which one.</t>
        </is>
      </c>
      <c r="G243" s="10" t="inlineStr"/>
      <c r="H243" s="10" t="inlineStr"/>
      <c r="I243" s="10" t="inlineStr"/>
      <c r="J243" s="10" t="inlineStr"/>
      <c r="K243" s="10" t="inlineStr"/>
      <c r="L243" s="10" t="inlineStr"/>
      <c r="M243" s="10" t="inlineStr"/>
    </row>
    <row r="244">
      <c r="A244" s="10" t="n">
        <v>16</v>
      </c>
      <c r="B244" s="10" t="inlineStr">
        <is>
          <t>LETTER TEMPLATES IN THE TEAM'S OPTIONS</t>
        </is>
      </c>
      <c r="C244" s="10" t="inlineStr">
        <is>
          <t>16.9</t>
        </is>
      </c>
      <c r="D244" s="10" t="inlineStr">
        <is>
          <t>After</t>
        </is>
      </c>
      <c r="E244" s="10" t="inlineStr">
        <is>
          <t>AFTER (expected)</t>
        </is>
      </c>
      <c r="F244" s="10" t="inlineStr">
        <is>
          <t>Permissions: only coaches/managers see it; assessors and guardians do not.</t>
        </is>
      </c>
      <c r="G244" s="10" t="inlineStr"/>
      <c r="H244" s="10" t="inlineStr"/>
      <c r="I244" s="10" t="inlineStr"/>
      <c r="J244" s="10" t="inlineStr"/>
      <c r="K244" s="10" t="inlineStr"/>
      <c r="L244" s="10" t="inlineStr"/>
      <c r="M244" s="10" t="inlineStr"/>
    </row>
    <row r="245">
      <c r="A245" s="10" t="n">
        <v>16</v>
      </c>
      <c r="B245" s="10" t="inlineStr">
        <is>
          <t>LETTER TEMPLATES IN THE TEAM'S OPTIONS</t>
        </is>
      </c>
      <c r="C245" s="10" t="inlineStr">
        <is>
          <t>16.10</t>
        </is>
      </c>
      <c r="D245" s="10" t="inlineStr">
        <is>
          <t>After</t>
        </is>
      </c>
      <c r="E245" s="10" t="inlineStr">
        <is>
          <t>AFTER (expected)</t>
        </is>
      </c>
      <c r="F245" s="10" t="inlineStr">
        <is>
          <t>The evaluation-side Letters screen is unchanged (regression).</t>
        </is>
      </c>
      <c r="G245" s="10" t="inlineStr"/>
      <c r="H245" s="10" t="inlineStr"/>
      <c r="I245" s="10" t="inlineStr"/>
      <c r="J245" s="10" t="inlineStr"/>
      <c r="K245" s="10" t="inlineStr"/>
      <c r="L245" s="10" t="inlineStr"/>
      <c r="M245" s="10" t="inlineStr"/>
    </row>
    <row r="246">
      <c r="A246" s="10" t="n">
        <v>16</v>
      </c>
      <c r="B246" s="10" t="inlineStr">
        <is>
          <t>LETTER TEMPLATES IN THE TEAM'S OPTIONS</t>
        </is>
      </c>
      <c r="C246" s="10" t="inlineStr">
        <is>
          <t>16.11</t>
        </is>
      </c>
      <c r="D246" s="10" t="inlineStr">
        <is>
          <t>After</t>
        </is>
      </c>
      <c r="E246" s="10" t="inlineStr">
        <is>
          <t>AFTER (expected)</t>
        </is>
      </c>
      <c r="F246" s="10" t="inlineStr">
        <is>
          <t>Free-plan limits for letters (if any) still apply.</t>
        </is>
      </c>
      <c r="G246" s="10" t="inlineStr"/>
      <c r="H246" s="10" t="inlineStr"/>
      <c r="I246" s="10" t="inlineStr"/>
      <c r="J246" s="10" t="inlineStr"/>
      <c r="K246" s="10" t="inlineStr"/>
      <c r="L246" s="10" t="inlineStr"/>
      <c r="M246" s="10" t="inlineStr"/>
    </row>
    <row r="247">
      <c r="A247" s="10" t="n">
        <v>16</v>
      </c>
      <c r="B247" s="10" t="inlineStr">
        <is>
          <t>LETTER TEMPLATES IN THE TEAM'S OPTIONS</t>
        </is>
      </c>
      <c r="C247" s="10" t="inlineStr">
        <is>
          <t>16.12</t>
        </is>
      </c>
      <c r="D247" s="10" t="inlineStr">
        <is>
          <t>After</t>
        </is>
      </c>
      <c r="E247" s="10" t="inlineStr">
        <is>
          <t>AFTER (expected)</t>
        </is>
      </c>
      <c r="F247" s="10" t="inlineStr">
        <is>
          <t>Sent letters still appear in the player's card and Sent Letters list.</t>
        </is>
      </c>
      <c r="G247" s="10" t="inlineStr"/>
      <c r="H247" s="10" t="inlineStr"/>
      <c r="I247" s="10" t="inlineStr"/>
      <c r="J247" s="10" t="inlineStr"/>
      <c r="K247" s="10" t="inlineStr"/>
      <c r="L247" s="10" t="inlineStr"/>
      <c r="M247" s="10" t="inlineStr"/>
    </row>
    <row r="248">
      <c r="A248" s="10" t="n">
        <v>17</v>
      </c>
      <c r="B248" s="10" t="inlineStr">
        <is>
          <t>LETTER TEMPLATE EDITOR: KEYBOARD COVERS THE LETTER  (HIGH)</t>
        </is>
      </c>
      <c r="C248" s="10" t="inlineStr">
        <is>
          <t>17.1</t>
        </is>
      </c>
      <c r="D248" s="10" t="inlineStr">
        <is>
          <t>General</t>
        </is>
      </c>
      <c r="E248" s="10" t="inlineStr"/>
      <c r="F248" s="10" t="inlineStr">
        <is>
          <t>Evaluation &gt; Results &gt; Player Selection Letters &gt; Edit (or New) on a template.</t>
        </is>
      </c>
      <c r="G248" s="10" t="inlineStr"/>
      <c r="H248" s="10" t="inlineStr"/>
      <c r="I248" s="10" t="inlineStr"/>
      <c r="J248" s="10" t="inlineStr"/>
      <c r="K248" s="10" t="inlineStr"/>
      <c r="L248" s="10" t="inlineStr"/>
      <c r="M248" s="10" t="inlineStr"/>
    </row>
    <row r="249">
      <c r="A249" s="10" t="n">
        <v>17</v>
      </c>
      <c r="B249" s="10" t="inlineStr">
        <is>
          <t>LETTER TEMPLATE EDITOR: KEYBOARD COVERS THE LETTER  (HIGH)</t>
        </is>
      </c>
      <c r="C249" s="10" t="inlineStr">
        <is>
          <t>17.2</t>
        </is>
      </c>
      <c r="D249" s="10" t="inlineStr">
        <is>
          <t>General</t>
        </is>
      </c>
      <c r="E249" s="10" t="inlineStr"/>
      <c r="F249" s="10" t="inlineStr">
        <is>
          <t>Tap into the big "Letter" box near the bottom of the text.</t>
        </is>
      </c>
      <c r="G249" s="10" t="inlineStr"/>
      <c r="H249" s="10" t="inlineStr"/>
      <c r="I249" s="10" t="inlineStr"/>
      <c r="J249" s="10" t="inlineStr"/>
      <c r="K249" s="10" t="inlineStr"/>
      <c r="L249" s="10" t="inlineStr"/>
      <c r="M249" s="10" t="inlineStr"/>
    </row>
    <row r="250">
      <c r="A250" s="10" t="n">
        <v>17</v>
      </c>
      <c r="B250" s="10" t="inlineStr">
        <is>
          <t>LETTER TEMPLATE EDITOR: KEYBOARD COVERS THE LETTER  (HIGH)</t>
        </is>
      </c>
      <c r="C250" s="10" t="inlineStr">
        <is>
          <t>17.3</t>
        </is>
      </c>
      <c r="D250" s="10" t="inlineStr">
        <is>
          <t>General</t>
        </is>
      </c>
      <c r="E250" s="10" t="inlineStr"/>
      <c r="F250" s="10" t="inlineStr">
        <is>
          <t>Try to scroll the sheet / see the text you are typing.</t>
        </is>
      </c>
      <c r="G250" s="10" t="inlineStr"/>
      <c r="H250" s="10" t="inlineStr"/>
      <c r="I250" s="10" t="inlineStr"/>
      <c r="J250" s="10" t="inlineStr"/>
      <c r="K250" s="10" t="inlineStr"/>
      <c r="L250" s="10" t="inlineStr"/>
      <c r="M250" s="10" t="inlineStr"/>
    </row>
    <row r="251">
      <c r="A251" s="10" t="n">
        <v>17</v>
      </c>
      <c r="B251" s="10" t="inlineStr">
        <is>
          <t>LETTER TEMPLATE EDITOR: KEYBOARD COVERS THE LETTER  (HIGH)</t>
        </is>
      </c>
      <c r="C251" s="10" t="inlineStr">
        <is>
          <t>17.4</t>
        </is>
      </c>
      <c r="D251" s="10" t="inlineStr">
        <is>
          <t>Before</t>
        </is>
      </c>
      <c r="E251" s="10" t="inlineStr">
        <is>
          <t>BEFORE (expected bug, as in Shawn's screenshot)</t>
        </is>
      </c>
      <c r="F251" s="10" t="inlineStr">
        <is>
          <t>Keyboard covers most of the letter; only 2-3 lines visible. Cannot scroll to see the rest. "Save Template" sits right above the keyboard.</t>
        </is>
      </c>
      <c r="G251" s="10" t="inlineStr"/>
      <c r="H251" s="10" t="inlineStr"/>
      <c r="I251" s="10" t="inlineStr"/>
      <c r="J251" s="10" t="inlineStr"/>
      <c r="K251" s="10" t="inlineStr"/>
      <c r="L251" s="10" t="inlineStr"/>
      <c r="M251" s="10" t="inlineStr"/>
    </row>
    <row r="252">
      <c r="A252" s="10" t="n">
        <v>17</v>
      </c>
      <c r="B252" s="10" t="inlineStr">
        <is>
          <t>LETTER TEMPLATE EDITOR: KEYBOARD COVERS THE LETTER  (HIGH)</t>
        </is>
      </c>
      <c r="C252" s="10" t="inlineStr">
        <is>
          <t>17.5</t>
        </is>
      </c>
      <c r="D252" s="10" t="inlineStr">
        <is>
          <t>Before</t>
        </is>
      </c>
      <c r="E252" s="10" t="inlineStr">
        <is>
          <t>BEFORE (expected bug, as in Shawn's screenshot)</t>
        </is>
      </c>
      <c r="F252" s="10" t="inlineStr">
        <is>
          <t>Type a long paragraph: the caret line goes out of view.</t>
        </is>
      </c>
      <c r="G252" s="10" t="inlineStr"/>
      <c r="H252" s="10" t="inlineStr"/>
      <c r="I252" s="10" t="inlineStr"/>
      <c r="J252" s="10" t="inlineStr"/>
      <c r="K252" s="10" t="inlineStr"/>
      <c r="L252" s="10" t="inlineStr"/>
      <c r="M252" s="10" t="inlineStr"/>
    </row>
    <row r="253">
      <c r="A253" s="10" t="n">
        <v>17</v>
      </c>
      <c r="B253" s="10" t="inlineStr">
        <is>
          <t>LETTER TEMPLATE EDITOR: KEYBOARD COVERS THE LETTER  (HIGH)</t>
        </is>
      </c>
      <c r="C253" s="10" t="inlineStr">
        <is>
          <t>17.6</t>
        </is>
      </c>
      <c r="D253" s="10" t="inlineStr">
        <is>
          <t>Before</t>
        </is>
      </c>
      <c r="E253" s="10" t="inlineStr">
        <is>
          <t>BEFORE (expected bug, as in Shawn's screenshot)</t>
        </is>
      </c>
      <c r="F253" s="10" t="inlineStr">
        <is>
          <t>Save the template. The sheet just closes; nothing says it saved.</t>
        </is>
      </c>
      <c r="G253" s="10" t="inlineStr"/>
      <c r="H253" s="10" t="inlineStr"/>
      <c r="I253" s="10" t="inlineStr"/>
      <c r="J253" s="10" t="inlineStr"/>
      <c r="K253" s="10" t="inlineStr"/>
      <c r="L253" s="10" t="inlineStr"/>
      <c r="M253" s="10" t="inlineStr"/>
    </row>
    <row r="254">
      <c r="A254" s="10" t="n">
        <v>17</v>
      </c>
      <c r="B254" s="10" t="inlineStr">
        <is>
          <t>LETTER TEMPLATE EDITOR: KEYBOARD COVERS THE LETTER  (HIGH)</t>
        </is>
      </c>
      <c r="C254" s="10" t="inlineStr">
        <is>
          <t>17.7</t>
        </is>
      </c>
      <c r="D254" s="10" t="inlineStr">
        <is>
          <t>Before</t>
        </is>
      </c>
      <c r="E254" s="10" t="inlineStr">
        <is>
          <t>BEFORE (expected bug, as in Shawn's screenshot)</t>
        </is>
      </c>
      <c r="F254" s="10" t="inlineStr">
        <is>
          <t>iPhone: same test (likely fine - note it). (the simulator uses a hardware keyboard, so no on-screen keyboard appears there - test on a real iPhone too)</t>
        </is>
      </c>
      <c r="G254" s="10" t="inlineStr"/>
      <c r="H254" s="10" t="inlineStr"/>
      <c r="I254" s="10" t="inlineStr"/>
      <c r="J254" s="10" t="inlineStr"/>
      <c r="K254" s="10" t="inlineStr"/>
      <c r="L254" s="10" t="inlineStr"/>
      <c r="M254" s="10" t="inlineStr"/>
    </row>
    <row r="255">
      <c r="A255" s="10" t="n">
        <v>17</v>
      </c>
      <c r="B255" s="10" t="inlineStr">
        <is>
          <t>LETTER TEMPLATE EDITOR: KEYBOARD COVERS THE LETTER  (HIGH)</t>
        </is>
      </c>
      <c r="C255" s="10" t="inlineStr">
        <is>
          <t>17.8</t>
        </is>
      </c>
      <c r="D255" s="10" t="inlineStr">
        <is>
          <t>After</t>
        </is>
      </c>
      <c r="E255" s="10" t="inlineStr">
        <is>
          <t>AFTER (expected)</t>
        </is>
      </c>
      <c r="F255" s="10" t="inlineStr">
        <is>
          <t>With the keyboard open the sheet moves up/shrinks so the field being typed in is fully visible; the sheet body scrolls.</t>
        </is>
      </c>
      <c r="G255" s="10" t="inlineStr"/>
      <c r="H255" s="10" t="inlineStr"/>
      <c r="I255" s="10" t="inlineStr"/>
      <c r="J255" s="10" t="inlineStr"/>
      <c r="K255" s="10" t="inlineStr"/>
      <c r="L255" s="10" t="inlineStr"/>
      <c r="M255" s="10" t="inlineStr"/>
    </row>
    <row r="256">
      <c r="A256" s="10" t="n">
        <v>17</v>
      </c>
      <c r="B256" s="10" t="inlineStr">
        <is>
          <t>LETTER TEMPLATE EDITOR: KEYBOARD COVERS THE LETTER  (HIGH)</t>
        </is>
      </c>
      <c r="C256" s="10" t="inlineStr">
        <is>
          <t>17.9</t>
        </is>
      </c>
      <c r="D256" s="10" t="inlineStr">
        <is>
          <t>After</t>
        </is>
      </c>
      <c r="E256" s="10" t="inlineStr">
        <is>
          <t>AFTER (expected)</t>
        </is>
      </c>
      <c r="F256" s="10" t="inlineStr">
        <is>
          <t>Long letter: caret line always stays visible while typing.</t>
        </is>
      </c>
      <c r="G256" s="10" t="inlineStr"/>
      <c r="H256" s="10" t="inlineStr"/>
      <c r="I256" s="10" t="inlineStr"/>
      <c r="J256" s="10" t="inlineStr"/>
      <c r="K256" s="10" t="inlineStr"/>
      <c r="L256" s="10" t="inlineStr"/>
      <c r="M256" s="10" t="inlineStr"/>
    </row>
    <row r="257">
      <c r="A257" s="10" t="n">
        <v>17</v>
      </c>
      <c r="B257" s="10" t="inlineStr">
        <is>
          <t>LETTER TEMPLATE EDITOR: KEYBOARD COVERS THE LETTER  (HIGH)</t>
        </is>
      </c>
      <c r="C257" s="10" t="inlineStr">
        <is>
          <t>17.10</t>
        </is>
      </c>
      <c r="D257" s="10" t="inlineStr">
        <is>
          <t>After</t>
        </is>
      </c>
      <c r="E257" s="10" t="inlineStr">
        <is>
          <t>AFTER (expected)</t>
        </is>
      </c>
      <c r="F257" s="10" t="inlineStr">
        <is>
          <t>Can scroll the letter text and the sheet (e.g. to reach the placeholders list) while the keyboard is open.</t>
        </is>
      </c>
      <c r="G257" s="10" t="inlineStr"/>
      <c r="H257" s="10" t="inlineStr"/>
      <c r="I257" s="10" t="inlineStr"/>
      <c r="J257" s="10" t="inlineStr"/>
      <c r="K257" s="10" t="inlineStr"/>
      <c r="L257" s="10" t="inlineStr"/>
      <c r="M257" s="10" t="inlineStr"/>
    </row>
    <row r="258">
      <c r="A258" s="10" t="n">
        <v>17</v>
      </c>
      <c r="B258" s="10" t="inlineStr">
        <is>
          <t>LETTER TEMPLATE EDITOR: KEYBOARD COVERS THE LETTER  (HIGH)</t>
        </is>
      </c>
      <c r="C258" s="10" t="inlineStr">
        <is>
          <t>17.11</t>
        </is>
      </c>
      <c r="D258" s="10" t="inlineStr">
        <is>
          <t>After</t>
        </is>
      </c>
      <c r="E258" s="10" t="inlineStr">
        <is>
          <t>AFTER (expected)</t>
        </is>
      </c>
      <c r="F258" s="10" t="inlineStr">
        <is>
          <t>"Save Template" stays reachable (visible or one scroll away); Done/return key does not lose typed text.</t>
        </is>
      </c>
      <c r="G258" s="10" t="inlineStr"/>
      <c r="H258" s="10" t="inlineStr"/>
      <c r="I258" s="10" t="inlineStr"/>
      <c r="J258" s="10" t="inlineStr"/>
      <c r="K258" s="10" t="inlineStr"/>
      <c r="L258" s="10" t="inlineStr"/>
      <c r="M258" s="10" t="inlineStr"/>
    </row>
    <row r="259">
      <c r="A259" s="10" t="n">
        <v>17</v>
      </c>
      <c r="B259" s="10" t="inlineStr">
        <is>
          <t>LETTER TEMPLATE EDITOR: KEYBOARD COVERS THE LETTER  (HIGH)</t>
        </is>
      </c>
      <c r="C259" s="10" t="inlineStr">
        <is>
          <t>17.12</t>
        </is>
      </c>
      <c r="D259" s="10" t="inlineStr">
        <is>
          <t>After</t>
        </is>
      </c>
      <c r="E259" s="10" t="inlineStr">
        <is>
          <t>AFTER (expected)</t>
        </is>
      </c>
      <c r="F259" s="10" t="inlineStr">
        <is>
          <t>After Save: a green "check Template saved" pill appears at the top of the Letters screen for ~2.5 seconds and the sheet closes.</t>
        </is>
      </c>
      <c r="G259" s="10" t="inlineStr">
        <is>
          <t>Yes</t>
        </is>
      </c>
      <c r="H259" s="10" t="inlineStr"/>
      <c r="I259" s="10" t="inlineStr"/>
      <c r="J259" s="10" t="inlineStr"/>
      <c r="K259" s="10" t="inlineStr"/>
      <c r="L259" s="10" t="inlineStr"/>
      <c r="M259" s="10" t="inlineStr"/>
    </row>
    <row r="260">
      <c r="A260" s="10" t="n">
        <v>17</v>
      </c>
      <c r="B260" s="10" t="inlineStr">
        <is>
          <t>LETTER TEMPLATE EDITOR: KEYBOARD COVERS THE LETTER  (HIGH)</t>
        </is>
      </c>
      <c r="C260" s="10" t="inlineStr">
        <is>
          <t>17.13</t>
        </is>
      </c>
      <c r="D260" s="10" t="inlineStr">
        <is>
          <t>After</t>
        </is>
      </c>
      <c r="E260" s="10" t="inlineStr">
        <is>
          <t>AFTER (expected)</t>
        </is>
      </c>
      <c r="F260" s="10" t="inlineStr">
        <is>
          <t>Save failure (airplane mode): error alert, sheet stays open, text NOT lost, no false "saved" indicator.</t>
        </is>
      </c>
      <c r="G260" s="10" t="inlineStr"/>
      <c r="H260" s="10" t="inlineStr"/>
      <c r="I260" s="10" t="inlineStr"/>
      <c r="J260" s="10" t="inlineStr"/>
      <c r="K260" s="10" t="inlineStr"/>
      <c r="L260" s="10" t="inlineStr"/>
      <c r="M260" s="10" t="inlineStr"/>
    </row>
    <row r="261">
      <c r="A261" s="10" t="n">
        <v>17</v>
      </c>
      <c r="B261" s="10" t="inlineStr">
        <is>
          <t>LETTER TEMPLATE EDITOR: KEYBOARD COVERS THE LETTER  (HIGH)</t>
        </is>
      </c>
      <c r="C261" s="10" t="inlineStr">
        <is>
          <t>17.14</t>
        </is>
      </c>
      <c r="D261" s="10" t="inlineStr">
        <is>
          <t>After</t>
        </is>
      </c>
      <c r="E261" s="10" t="inlineStr">
        <is>
          <t>AFTER (expected)</t>
        </is>
      </c>
      <c r="F261" s="10" t="inlineStr">
        <is>
          <t>Name empty: existing "Name required" alert still shown, no saved indicator.</t>
        </is>
      </c>
      <c r="G261" s="10" t="inlineStr"/>
      <c r="H261" s="10" t="inlineStr"/>
      <c r="I261" s="10" t="inlineStr"/>
      <c r="J261" s="10" t="inlineStr"/>
      <c r="K261" s="10" t="inlineStr"/>
      <c r="L261" s="10" t="inlineStr"/>
      <c r="M261" s="10" t="inlineStr"/>
    </row>
    <row r="262">
      <c r="A262" s="10" t="n">
        <v>17</v>
      </c>
      <c r="B262" s="10" t="inlineStr">
        <is>
          <t>LETTER TEMPLATE EDITOR: KEYBOARD COVERS THE LETTER  (HIGH)</t>
        </is>
      </c>
      <c r="C262" s="10" t="inlineStr">
        <is>
          <t>17.15</t>
        </is>
      </c>
      <c r="D262" s="10" t="inlineStr">
        <is>
          <t>After</t>
        </is>
      </c>
      <c r="E262" s="10" t="inlineStr">
        <is>
          <t>AFTER (expected)</t>
        </is>
      </c>
      <c r="F262" s="10" t="inlineStr">
        <is>
          <t>3-button nav, gesture nav, small phone, large font, landscape, split-screen: all usable.</t>
        </is>
      </c>
      <c r="G262" s="10" t="inlineStr"/>
      <c r="H262" s="10" t="inlineStr"/>
      <c r="I262" s="10" t="inlineStr"/>
      <c r="J262" s="10" t="inlineStr"/>
      <c r="K262" s="10" t="inlineStr"/>
      <c r="L262" s="10" t="inlineStr"/>
      <c r="M262" s="10" t="inlineStr"/>
    </row>
    <row r="263">
      <c r="A263" s="10" t="n">
        <v>17</v>
      </c>
      <c r="B263" s="10" t="inlineStr">
        <is>
          <t>LETTER TEMPLATE EDITOR: KEYBOARD COVERS THE LETTER  (HIGH)</t>
        </is>
      </c>
      <c r="C263" s="10" t="inlineStr">
        <is>
          <t>17.16</t>
        </is>
      </c>
      <c r="D263" s="10" t="inlineStr">
        <is>
          <t>After</t>
        </is>
      </c>
      <c r="E263" s="10" t="inlineStr">
        <is>
          <t>AFTER (expected)</t>
        </is>
      </c>
      <c r="F263" s="10" t="inlineStr">
        <is>
          <t>Dark and light mode.</t>
        </is>
      </c>
      <c r="G263" s="10" t="inlineStr"/>
      <c r="H263" s="10" t="inlineStr"/>
      <c r="I263" s="10" t="inlineStr"/>
      <c r="J263" s="10" t="inlineStr"/>
      <c r="K263" s="10" t="inlineStr"/>
      <c r="L263" s="10" t="inlineStr"/>
      <c r="M263" s="10" t="inlineStr"/>
    </row>
    <row r="264">
      <c r="A264" s="10" t="n">
        <v>17</v>
      </c>
      <c r="B264" s="10" t="inlineStr">
        <is>
          <t>LETTER TEMPLATE EDITOR: KEYBOARD COVERS THE LETTER  (HIGH)</t>
        </is>
      </c>
      <c r="C264" s="10" t="inlineStr">
        <is>
          <t>17.17</t>
        </is>
      </c>
      <c r="D264" s="10" t="inlineStr">
        <is>
          <t>After</t>
        </is>
      </c>
      <c r="E264" s="10" t="inlineStr">
        <is>
          <t>AFTER (expected)</t>
        </is>
      </c>
      <c r="F264" s="10" t="inlineStr">
        <is>
          <t>Tap a placeholder chip: it appends to the letter and the cursor/scroll position stays sensible.</t>
        </is>
      </c>
      <c r="G264" s="10" t="inlineStr"/>
      <c r="H264" s="10" t="inlineStr"/>
      <c r="I264" s="10" t="inlineStr"/>
      <c r="J264" s="10" t="inlineStr"/>
      <c r="K264" s="10" t="inlineStr"/>
      <c r="L264" s="10" t="inlineStr"/>
      <c r="M264" s="10" t="inlineStr"/>
    </row>
    <row r="265">
      <c r="A265" s="10" t="n">
        <v>17</v>
      </c>
      <c r="B265" s="10" t="inlineStr">
        <is>
          <t>LETTER TEMPLATE EDITOR: KEYBOARD COVERS THE LETTER  (HIGH)</t>
        </is>
      </c>
      <c r="C265" s="10" t="inlineStr">
        <is>
          <t>17.18</t>
        </is>
      </c>
      <c r="D265" s="10" t="inlineStr">
        <is>
          <t>After</t>
        </is>
      </c>
      <c r="E265" s="10" t="inlineStr">
        <is>
          <t>AFTER (expected)</t>
        </is>
      </c>
      <c r="F265" s="10" t="inlineStr">
        <is>
          <t>"Start from a standard letter" chips still fill subject/body.</t>
        </is>
      </c>
      <c r="G265" s="10" t="inlineStr"/>
      <c r="H265" s="10" t="inlineStr"/>
      <c r="I265" s="10" t="inlineStr"/>
      <c r="J265" s="10" t="inlineStr"/>
      <c r="K265" s="10" t="inlineStr"/>
      <c r="L265" s="10" t="inlineStr"/>
      <c r="M265" s="10" t="inlineStr"/>
    </row>
    <row r="266">
      <c r="A266" s="10" t="n">
        <v>17</v>
      </c>
      <c r="B266" s="10" t="inlineStr">
        <is>
          <t>LETTER TEMPLATE EDITOR: KEYBOARD COVERS THE LETTER  (HIGH)</t>
        </is>
      </c>
      <c r="C266" s="10" t="inlineStr">
        <is>
          <t>17.19</t>
        </is>
      </c>
      <c r="D266" s="10" t="inlineStr">
        <is>
          <t>After</t>
        </is>
      </c>
      <c r="E266" s="10" t="inlineStr">
        <is>
          <t>AFTER (expected)</t>
        </is>
      </c>
      <c r="F266" s="10" t="inlineStr">
        <is>
          <t>Edit Evaluation (tile pencil + Settings)</t>
        </is>
      </c>
      <c r="G266" s="10" t="inlineStr"/>
      <c r="H266" s="10" t="inlineStr"/>
      <c r="I266" s="10" t="inlineStr"/>
      <c r="J266" s="10" t="inlineStr"/>
      <c r="K266" s="10" t="inlineStr"/>
      <c r="L266" s="10" t="inlineStr"/>
      <c r="M266" s="10" t="inlineStr"/>
    </row>
    <row r="267">
      <c r="A267" s="10" t="n">
        <v>17</v>
      </c>
      <c r="B267" s="10" t="inlineStr">
        <is>
          <t>LETTER TEMPLATE EDITOR: KEYBOARD COVERS THE LETTER  (HIGH)</t>
        </is>
      </c>
      <c r="C267" s="10" t="inlineStr">
        <is>
          <t>17.20</t>
        </is>
      </c>
      <c r="D267" s="10" t="inlineStr">
        <is>
          <t>After</t>
        </is>
      </c>
      <c r="E267" s="10" t="inlineStr">
        <is>
          <t>AFTER (expected)</t>
        </is>
      </c>
      <c r="F267" s="10" t="inlineStr">
        <is>
          <t>Add Player Manually / Edit player</t>
        </is>
      </c>
      <c r="G267" s="10" t="inlineStr"/>
      <c r="H267" s="10" t="inlineStr"/>
      <c r="I267" s="10" t="inlineStr"/>
      <c r="J267" s="10" t="inlineStr"/>
      <c r="K267" s="10" t="inlineStr"/>
      <c r="L267" s="10" t="inlineStr"/>
      <c r="M267" s="10" t="inlineStr"/>
    </row>
    <row r="268">
      <c r="A268" s="10" t="n">
        <v>17</v>
      </c>
      <c r="B268" s="10" t="inlineStr">
        <is>
          <t>LETTER TEMPLATE EDITOR: KEYBOARD COVERS THE LETTER  (HIGH)</t>
        </is>
      </c>
      <c r="C268" s="10" t="inlineStr">
        <is>
          <t>17.21</t>
        </is>
      </c>
      <c r="D268" s="10" t="inlineStr">
        <is>
          <t>After</t>
        </is>
      </c>
      <c r="E268" s="10" t="inlineStr">
        <is>
          <t>AFTER (expected)</t>
        </is>
      </c>
      <c r="F268" s="10" t="inlineStr">
        <is>
          <t>Add / Edit event on a team</t>
        </is>
      </c>
      <c r="G268" s="10" t="inlineStr"/>
      <c r="H268" s="10" t="inlineStr"/>
      <c r="I268" s="10" t="inlineStr"/>
      <c r="J268" s="10" t="inlineStr"/>
      <c r="K268" s="10" t="inlineStr"/>
      <c r="L268" s="10" t="inlineStr"/>
      <c r="M268" s="10" t="inlineStr"/>
    </row>
    <row r="269">
      <c r="A269" s="10" t="n">
        <v>17</v>
      </c>
      <c r="B269" s="10" t="inlineStr">
        <is>
          <t>LETTER TEMPLATE EDITOR: KEYBOARD COVERS THE LETTER  (HIGH)</t>
        </is>
      </c>
      <c r="C269" s="10" t="inlineStr">
        <is>
          <t>17.22</t>
        </is>
      </c>
      <c r="D269" s="10" t="inlineStr">
        <is>
          <t>After</t>
        </is>
      </c>
      <c r="E269" s="10" t="inlineStr">
        <is>
          <t>AFTER (expected)</t>
        </is>
      </c>
      <c r="F269" s="10" t="inlineStr">
        <is>
          <t>Import players modal, Add Assessor, Save Team Set name</t>
        </is>
      </c>
      <c r="G269" s="10" t="inlineStr"/>
      <c r="H269" s="10" t="inlineStr"/>
      <c r="I269" s="10" t="inlineStr"/>
      <c r="J269" s="10" t="inlineStr"/>
      <c r="K269" s="10" t="inlineStr"/>
      <c r="L269" s="10" t="inlineStr"/>
      <c r="M269" s="10" t="inlineStr"/>
    </row>
    <row r="270">
      <c r="A270" s="10" t="n">
        <v>17</v>
      </c>
      <c r="B270" s="10" t="inlineStr">
        <is>
          <t>LETTER TEMPLATE EDITOR: KEYBOARD COVERS THE LETTER  (HIGH)</t>
        </is>
      </c>
      <c r="C270" s="10" t="inlineStr">
        <is>
          <t>17.23</t>
        </is>
      </c>
      <c r="D270" s="10" t="inlineStr">
        <is>
          <t>After</t>
        </is>
      </c>
      <c r="E270" s="10" t="inlineStr">
        <is>
          <t>AFTER (expected)</t>
        </is>
      </c>
      <c r="F270" s="10" t="inlineStr">
        <is>
          <t>Anything that had NO keyboard problem before must not get a weird gap above the keyboard or jump.</t>
        </is>
      </c>
      <c r="G270" s="10" t="inlineStr"/>
      <c r="H270" s="10" t="inlineStr"/>
      <c r="I270" s="10" t="inlineStr"/>
      <c r="J270" s="10" t="inlineStr"/>
      <c r="K270" s="10" t="inlineStr"/>
      <c r="L270" s="10" t="inlineStr"/>
      <c r="M270" s="10" t="inlineStr"/>
    </row>
    <row r="271">
      <c r="A271" s="10" t="n">
        <v>17</v>
      </c>
      <c r="B271" s="10" t="inlineStr">
        <is>
          <t>LETTER TEMPLATE EDITOR: KEYBOARD COVERS THE LETTER  (HIGH)</t>
        </is>
      </c>
      <c r="C271" s="10" t="inlineStr">
        <is>
          <t>17.24</t>
        </is>
      </c>
      <c r="D271" s="10" t="inlineStr">
        <is>
          <t>After</t>
        </is>
      </c>
      <c r="E271" s="10" t="inlineStr">
        <is>
          <t>AFTER (expected)</t>
        </is>
      </c>
      <c r="F271" s="10" t="inlineStr">
        <is>
          <t>iOS: keyboard behaviour of every sheet unchanged.</t>
        </is>
      </c>
      <c r="G271" s="10" t="inlineStr"/>
      <c r="H271" s="10" t="inlineStr"/>
      <c r="I271" s="10" t="inlineStr"/>
      <c r="J271" s="10" t="inlineStr"/>
      <c r="K271" s="10" t="inlineStr"/>
      <c r="L271" s="10" t="inlineStr"/>
      <c r="M271" s="10" t="inlineStr"/>
    </row>
    <row r="272">
      <c r="A272" s="10" t="n">
        <v>18</v>
      </c>
      <c r="B272" s="10" t="inlineStr">
        <is>
          <t>END TIME BEFORE START TIME IS ACCEPTED  (HIGH)</t>
        </is>
      </c>
      <c r="C272" s="10" t="inlineStr">
        <is>
          <t>18.1</t>
        </is>
      </c>
      <c r="D272" s="10" t="inlineStr">
        <is>
          <t>General</t>
        </is>
      </c>
      <c r="E272" s="10" t="inlineStr">
        <is>
          <t>DECIDED RULE:</t>
        </is>
      </c>
      <c r="F272" s="10" t="inlineStr">
        <is>
          <t>Team &gt; Schedule &gt; "+ Event": date today+1, Start 3:00 PM, End 1:00 PM, Save. Expected bug: saves.</t>
        </is>
      </c>
      <c r="G272" s="10" t="inlineStr"/>
      <c r="H272" s="10" t="inlineStr"/>
      <c r="I272" s="10" t="inlineStr"/>
      <c r="J272" s="10" t="inlineStr"/>
      <c r="K272" s="10" t="inlineStr"/>
      <c r="L272" s="10" t="inlineStr"/>
      <c r="M272" s="10" t="inlineStr"/>
    </row>
    <row r="273">
      <c r="A273" s="10" t="n">
        <v>18</v>
      </c>
      <c r="B273" s="10" t="inlineStr">
        <is>
          <t>END TIME BEFORE START TIME IS ACCEPTED  (HIGH)</t>
        </is>
      </c>
      <c r="C273" s="10" t="inlineStr">
        <is>
          <t>18.2</t>
        </is>
      </c>
      <c r="D273" s="10" t="inlineStr">
        <is>
          <t>General</t>
        </is>
      </c>
      <c r="E273" s="10" t="inlineStr">
        <is>
          <t>DECIDED RULE:</t>
        </is>
      </c>
      <c r="F273" s="10" t="inlineStr">
        <is>
          <t>Same, but End date earlier than date: blocked with an error (works today).</t>
        </is>
      </c>
      <c r="G273" s="10" t="inlineStr"/>
      <c r="H273" s="10" t="inlineStr"/>
      <c r="I273" s="10" t="inlineStr"/>
      <c r="J273" s="10" t="inlineStr"/>
      <c r="K273" s="10" t="inlineStr"/>
      <c r="L273" s="10" t="inlineStr"/>
      <c r="M273" s="10" t="inlineStr"/>
    </row>
    <row r="274">
      <c r="A274" s="10" t="n">
        <v>18</v>
      </c>
      <c r="B274" s="10" t="inlineStr">
        <is>
          <t>END TIME BEFORE START TIME IS ACCEPTED  (HIGH)</t>
        </is>
      </c>
      <c r="C274" s="10" t="inlineStr">
        <is>
          <t>18.3</t>
        </is>
      </c>
      <c r="D274" s="10" t="inlineStr">
        <is>
          <t>General</t>
        </is>
      </c>
      <c r="E274" s="10" t="inlineStr">
        <is>
          <t>DECIDED RULE:</t>
        </is>
      </c>
      <c r="F274" s="10" t="inlineStr">
        <is>
          <t>Edit an existing team event: set End before Start, Save.</t>
        </is>
      </c>
      <c r="G274" s="10" t="inlineStr"/>
      <c r="H274" s="10" t="inlineStr"/>
      <c r="I274" s="10" t="inlineStr"/>
      <c r="J274" s="10" t="inlineStr"/>
      <c r="K274" s="10" t="inlineStr"/>
      <c r="L274" s="10" t="inlineStr"/>
      <c r="M274" s="10" t="inlineStr"/>
    </row>
    <row r="275">
      <c r="A275" s="10" t="n">
        <v>18</v>
      </c>
      <c r="B275" s="10" t="inlineStr">
        <is>
          <t>END TIME BEFORE START TIME IS ACCEPTED  (HIGH)</t>
        </is>
      </c>
      <c r="C275" s="10" t="inlineStr">
        <is>
          <t>18.4</t>
        </is>
      </c>
      <c r="D275" s="10" t="inlineStr">
        <is>
          <t>General</t>
        </is>
      </c>
      <c r="E275" s="10" t="inlineStr">
        <is>
          <t>DECIDED RULE:</t>
        </is>
      </c>
      <c r="F275" s="10" t="inlineStr">
        <is>
          <t>Season / Schedule screen (season/[id]/schedule): create an event with End before Start.</t>
        </is>
      </c>
      <c r="G275" s="10" t="inlineStr"/>
      <c r="H275" s="10" t="inlineStr"/>
      <c r="I275" s="10" t="inlineStr"/>
      <c r="J275" s="10" t="inlineStr"/>
      <c r="K275" s="10" t="inlineStr"/>
      <c r="L275" s="10" t="inlineStr"/>
      <c r="M275" s="10" t="inlineStr"/>
    </row>
    <row r="276">
      <c r="A276" s="10" t="n">
        <v>18</v>
      </c>
      <c r="B276" s="10" t="inlineStr">
        <is>
          <t>END TIME BEFORE START TIME IS ACCEPTED  (HIGH)</t>
        </is>
      </c>
      <c r="C276" s="10" t="inlineStr">
        <is>
          <t>18.5</t>
        </is>
      </c>
      <c r="D276" s="10" t="inlineStr">
        <is>
          <t>General</t>
        </is>
      </c>
      <c r="E276" s="10" t="inlineStr">
        <is>
          <t>DECIDED RULE:</t>
        </is>
      </c>
      <c r="F276" s="10" t="inlineStr">
        <is>
          <t>New Evaluation: Start 3:00 PM, End 1:00 PM, Create.</t>
        </is>
      </c>
      <c r="G276" s="10" t="inlineStr"/>
      <c r="H276" s="10" t="inlineStr"/>
      <c r="I276" s="10" t="inlineStr"/>
      <c r="J276" s="10" t="inlineStr"/>
      <c r="K276" s="10" t="inlineStr"/>
      <c r="L276" s="10" t="inlineStr"/>
      <c r="M276" s="10" t="inlineStr"/>
    </row>
    <row r="277">
      <c r="A277" s="10" t="n">
        <v>18</v>
      </c>
      <c r="B277" s="10" t="inlineStr">
        <is>
          <t>END TIME BEFORE START TIME IS ACCEPTED  (HIGH)</t>
        </is>
      </c>
      <c r="C277" s="10" t="inlineStr">
        <is>
          <t>18.6</t>
        </is>
      </c>
      <c r="D277" s="10" t="inlineStr">
        <is>
          <t>General</t>
        </is>
      </c>
      <c r="E277" s="10" t="inlineStr">
        <is>
          <t>DECIDED RULE:</t>
        </is>
      </c>
      <c r="F277" s="10" t="inlineStr">
        <is>
          <t>Evaluation &gt; Settings &gt; Edit Details (and the new tile pencil): End before Start, Save.</t>
        </is>
      </c>
      <c r="G277" s="10" t="inlineStr"/>
      <c r="H277" s="10" t="inlineStr"/>
      <c r="I277" s="10" t="inlineStr"/>
      <c r="J277" s="10" t="inlineStr"/>
      <c r="K277" s="10" t="inlineStr"/>
      <c r="L277" s="10" t="inlineStr"/>
      <c r="M277" s="10" t="inlineStr"/>
    </row>
    <row r="278">
      <c r="A278" s="10" t="n">
        <v>18</v>
      </c>
      <c r="B278" s="10" t="inlineStr">
        <is>
          <t>END TIME BEFORE START TIME IS ACCEPTED  (HIGH)</t>
        </is>
      </c>
      <c r="C278" s="10" t="inlineStr">
        <is>
          <t>18.7</t>
        </is>
      </c>
      <c r="D278" s="10" t="inlineStr">
        <is>
          <t>General</t>
        </is>
      </c>
      <c r="E278" s="10" t="inlineStr">
        <is>
          <t>DECIDED RULE:</t>
        </is>
      </c>
      <c r="F278" s="10" t="inlineStr">
        <is>
          <t>Note which of these show ANY error today.</t>
        </is>
      </c>
      <c r="G278" s="10" t="inlineStr"/>
      <c r="H278" s="10" t="inlineStr"/>
      <c r="I278" s="10" t="inlineStr"/>
      <c r="J278" s="10" t="inlineStr"/>
      <c r="K278" s="10" t="inlineStr"/>
      <c r="L278" s="10" t="inlineStr"/>
      <c r="M278" s="10" t="inlineStr"/>
    </row>
    <row r="279">
      <c r="A279" s="10" t="n">
        <v>18</v>
      </c>
      <c r="B279" s="10" t="inlineStr">
        <is>
          <t>END TIME BEFORE START TIME IS ACCEPTED  (HIGH)</t>
        </is>
      </c>
      <c r="C279" s="10" t="inlineStr">
        <is>
          <t>18.8</t>
        </is>
      </c>
      <c r="D279" s="10" t="inlineStr">
        <is>
          <t>After</t>
        </is>
      </c>
      <c r="E279" s="10" t="inlineStr">
        <is>
          <t>AFTER (expected)</t>
        </is>
      </c>
      <c r="F279" s="10" t="inlineStr">
        <is>
          <t>Team event, same day, End earlier than Start -&gt; save blocked with a clear inline error on End Time ("End time must be after start time"); nothing saved.</t>
        </is>
      </c>
      <c r="G279" s="10" t="inlineStr"/>
      <c r="H279" s="10" t="inlineStr"/>
      <c r="I279" s="10" t="inlineStr"/>
      <c r="J279" s="10" t="inlineStr"/>
      <c r="K279" s="10" t="inlineStr"/>
      <c r="L279" s="10" t="inlineStr"/>
      <c r="M279" s="10" t="inlineStr"/>
    </row>
    <row r="280">
      <c r="A280" s="10" t="n">
        <v>18</v>
      </c>
      <c r="B280" s="10" t="inlineStr">
        <is>
          <t>END TIME BEFORE START TIME IS ACCEPTED  (HIGH)</t>
        </is>
      </c>
      <c r="C280" s="10" t="inlineStr">
        <is>
          <t>18.9</t>
        </is>
      </c>
      <c r="D280" s="10" t="inlineStr">
        <is>
          <t>After</t>
        </is>
      </c>
      <c r="E280" s="10" t="inlineStr">
        <is>
          <t>AFTER (expected)</t>
        </is>
      </c>
      <c r="F280" s="10" t="inlineStr">
        <is>
          <t>End equal to Start -&gt; blocked.</t>
        </is>
      </c>
      <c r="G280" s="10" t="inlineStr">
        <is>
          <t>Yes</t>
        </is>
      </c>
      <c r="H280" s="10" t="inlineStr"/>
      <c r="I280" s="10" t="inlineStr"/>
      <c r="J280" s="10" t="inlineStr"/>
      <c r="K280" s="10" t="inlineStr"/>
      <c r="L280" s="10" t="inlineStr"/>
      <c r="M280" s="10" t="inlineStr"/>
    </row>
    <row r="281">
      <c r="A281" s="10" t="n">
        <v>18</v>
      </c>
      <c r="B281" s="10" t="inlineStr">
        <is>
          <t>END TIME BEFORE START TIME IS ACCEPTED  (HIGH)</t>
        </is>
      </c>
      <c r="C281" s="10" t="inlineStr">
        <is>
          <t>18.10</t>
        </is>
      </c>
      <c r="D281" s="10" t="inlineStr">
        <is>
          <t>After</t>
        </is>
      </c>
      <c r="E281" s="10" t="inlineStr">
        <is>
          <t>AFTER (expected)</t>
        </is>
      </c>
      <c r="F281" s="10" t="inlineStr">
        <is>
          <t>End later than Start -&gt; saves normally.</t>
        </is>
      </c>
      <c r="G281" s="10" t="inlineStr"/>
      <c r="H281" s="10" t="inlineStr"/>
      <c r="I281" s="10" t="inlineStr"/>
      <c r="J281" s="10" t="inlineStr"/>
      <c r="K281" s="10" t="inlineStr"/>
      <c r="L281" s="10" t="inlineStr"/>
      <c r="M281" s="10" t="inlineStr"/>
    </row>
    <row r="282">
      <c r="A282" s="10" t="n">
        <v>18</v>
      </c>
      <c r="B282" s="10" t="inlineStr">
        <is>
          <t>END TIME BEFORE START TIME IS ACCEPTED  (HIGH)</t>
        </is>
      </c>
      <c r="C282" s="10" t="inlineStr">
        <is>
          <t>18.11</t>
        </is>
      </c>
      <c r="D282" s="10" t="inlineStr">
        <is>
          <t>After</t>
        </is>
      </c>
      <c r="E282" s="10" t="inlineStr">
        <is>
          <t>AFTER (expected)</t>
        </is>
      </c>
      <c r="F282" s="10" t="inlineStr">
        <is>
          <t>Multi-day event (End date after date) with End time earlier than Start time -&gt; ALSO blocked (per the decided rule).</t>
        </is>
      </c>
      <c r="G282" s="10" t="inlineStr"/>
      <c r="H282" s="10" t="inlineStr"/>
      <c r="I282" s="10" t="inlineStr"/>
      <c r="J282" s="10" t="inlineStr"/>
      <c r="K282" s="10" t="inlineStr"/>
      <c r="L282" s="10" t="inlineStr"/>
      <c r="M282" s="10" t="inlineStr"/>
    </row>
    <row r="283">
      <c r="A283" s="10" t="n">
        <v>18</v>
      </c>
      <c r="B283" s="10" t="inlineStr">
        <is>
          <t>END TIME BEFORE START TIME IS ACCEPTED  (HIGH)</t>
        </is>
      </c>
      <c r="C283" s="10" t="inlineStr">
        <is>
          <t>18.12</t>
        </is>
      </c>
      <c r="D283" s="10" t="inlineStr">
        <is>
          <t>After</t>
        </is>
      </c>
      <c r="E283" s="10" t="inlineStr">
        <is>
          <t>AFTER (expected)</t>
        </is>
      </c>
      <c r="F283" s="10" t="inlineStr">
        <is>
          <t>End time only, no Start time -&gt; allowed / or asks for start (per agreed rule).</t>
        </is>
      </c>
      <c r="G283" s="10" t="inlineStr"/>
      <c r="H283" s="10" t="inlineStr"/>
      <c r="I283" s="10" t="inlineStr"/>
      <c r="J283" s="10" t="inlineStr"/>
      <c r="K283" s="10" t="inlineStr"/>
      <c r="L283" s="10" t="inlineStr"/>
      <c r="M283" s="10" t="inlineStr"/>
    </row>
    <row r="284">
      <c r="A284" s="10" t="n">
        <v>18</v>
      </c>
      <c r="B284" s="10" t="inlineStr">
        <is>
          <t>END TIME BEFORE START TIME IS ACCEPTED  (HIGH)</t>
        </is>
      </c>
      <c r="C284" s="10" t="inlineStr">
        <is>
          <t>18.13</t>
        </is>
      </c>
      <c r="D284" s="10" t="inlineStr">
        <is>
          <t>After</t>
        </is>
      </c>
      <c r="E284" s="10" t="inlineStr">
        <is>
          <t>AFTER (expected)</t>
        </is>
      </c>
      <c r="F284" s="10" t="inlineStr">
        <is>
          <t>Start time only -&gt; allowed as today.</t>
        </is>
      </c>
      <c r="G284" s="10" t="inlineStr"/>
      <c r="H284" s="10" t="inlineStr"/>
      <c r="I284" s="10" t="inlineStr"/>
      <c r="J284" s="10" t="inlineStr"/>
      <c r="K284" s="10" t="inlineStr"/>
      <c r="L284" s="10" t="inlineStr"/>
      <c r="M284" s="10" t="inlineStr"/>
    </row>
    <row r="285">
      <c r="A285" s="10" t="n">
        <v>18</v>
      </c>
      <c r="B285" s="10" t="inlineStr">
        <is>
          <t>END TIME BEFORE START TIME IS ACCEPTED  (HIGH)</t>
        </is>
      </c>
      <c r="C285" s="10" t="inlineStr">
        <is>
          <t>18.14</t>
        </is>
      </c>
      <c r="D285" s="10" t="inlineStr">
        <is>
          <t>After</t>
        </is>
      </c>
      <c r="E285" s="10" t="inlineStr">
        <is>
          <t>AFTER (expected)</t>
        </is>
      </c>
      <c r="F285" s="10" t="inlineStr">
        <is>
          <t>Same validation on: team event (create + edit), New Evaluation, Evaluation Settings edit, tile pencil edit. (Settings edit verified in simulator; all forms verified by script.)</t>
        </is>
      </c>
      <c r="G285" s="10" t="inlineStr">
        <is>
          <t>Yes</t>
        </is>
      </c>
      <c r="H285" s="10" t="inlineStr"/>
      <c r="I285" s="10" t="inlineStr"/>
      <c r="J285" s="10" t="inlineStr"/>
      <c r="K285" s="10" t="inlineStr"/>
      <c r="L285" s="10" t="inlineStr"/>
      <c r="M285" s="10" t="inlineStr"/>
    </row>
    <row r="286">
      <c r="A286" s="10" t="n">
        <v>18</v>
      </c>
      <c r="B286" s="10" t="inlineStr">
        <is>
          <t>END TIME BEFORE START TIME IS ACCEPTED  (HIGH)</t>
        </is>
      </c>
      <c r="C286" s="10" t="inlineStr">
        <is>
          <t>18.15</t>
        </is>
      </c>
      <c r="D286" s="10" t="inlineStr">
        <is>
          <t>After</t>
        </is>
      </c>
      <c r="E286" s="10" t="inlineStr">
        <is>
          <t>AFTER (expected)</t>
        </is>
      </c>
      <c r="F286" s="10" t="inlineStr">
        <is>
          <t>The error appears under the End Time field (red outline + "End time must be after the start time") and the form keeps what was typed.</t>
        </is>
      </c>
      <c r="G286" s="10" t="inlineStr">
        <is>
          <t>Yes</t>
        </is>
      </c>
      <c r="H286" s="10" t="inlineStr"/>
      <c r="I286" s="10" t="inlineStr"/>
      <c r="J286" s="10" t="inlineStr"/>
      <c r="K286" s="10" t="inlineStr"/>
      <c r="L286" s="10" t="inlineStr"/>
      <c r="M286" s="10" t="inlineStr"/>
    </row>
    <row r="287">
      <c r="A287" s="10" t="n">
        <v>18</v>
      </c>
      <c r="B287" s="10" t="inlineStr">
        <is>
          <t>END TIME BEFORE START TIME IS ACCEPTED  (HIGH)</t>
        </is>
      </c>
      <c r="C287" s="10" t="inlineStr">
        <is>
          <t>18.16</t>
        </is>
      </c>
      <c r="D287" s="10" t="inlineStr">
        <is>
          <t>After</t>
        </is>
      </c>
      <c r="E287" s="10" t="inlineStr">
        <is>
          <t>AFTER (expected)</t>
        </is>
      </c>
      <c r="F287" s="10" t="inlineStr">
        <is>
          <t>Changing Start time after picking End re-validates (clears the error when they become consistent).</t>
        </is>
      </c>
      <c r="G287" s="10" t="inlineStr"/>
      <c r="H287" s="10" t="inlineStr"/>
      <c r="I287" s="10" t="inlineStr"/>
      <c r="J287" s="10" t="inlineStr"/>
      <c r="K287" s="10" t="inlineStr"/>
      <c r="L287" s="10" t="inlineStr"/>
      <c r="M287" s="10" t="inlineStr"/>
    </row>
    <row r="288">
      <c r="A288" s="10" t="n">
        <v>18</v>
      </c>
      <c r="B288" s="10" t="inlineStr">
        <is>
          <t>END TIME BEFORE START TIME IS ACCEPTED  (HIGH)</t>
        </is>
      </c>
      <c r="C288" s="10" t="inlineStr">
        <is>
          <t>18.17</t>
        </is>
      </c>
      <c r="D288" s="10" t="inlineStr">
        <is>
          <t>After</t>
        </is>
      </c>
      <c r="E288" s="10" t="inlineStr">
        <is>
          <t>AFTER (expected)</t>
        </is>
      </c>
      <c r="F288" s="10" t="inlineStr">
        <is>
          <t>Existing past-date / past-start-time validation still works: picking a past date is still blocked (regression).</t>
        </is>
      </c>
      <c r="G288" s="10" t="inlineStr"/>
      <c r="H288" s="10" t="inlineStr"/>
      <c r="I288" s="10" t="inlineStr"/>
      <c r="J288" s="10" t="inlineStr"/>
      <c r="K288" s="10" t="inlineStr"/>
      <c r="L288" s="10" t="inlineStr"/>
      <c r="M288" s="10" t="inlineStr"/>
    </row>
    <row r="289">
      <c r="A289" s="10" t="n">
        <v>18</v>
      </c>
      <c r="B289" s="10" t="inlineStr">
        <is>
          <t>END TIME BEFORE START TIME IS ACCEPTED  (HIGH)</t>
        </is>
      </c>
      <c r="C289" s="10" t="inlineStr">
        <is>
          <t>18.18</t>
        </is>
      </c>
      <c r="D289" s="10" t="inlineStr">
        <is>
          <t>After</t>
        </is>
      </c>
      <c r="E289" s="10" t="inlineStr">
        <is>
          <t>AFTER (expected)</t>
        </is>
      </c>
      <c r="F289" s="10" t="inlineStr">
        <is>
          <t>Existing events/evaluations that ALREADY have end before/equal to start still open and display; the error shows only when the user tries to save them . They are never deleted or hidden.</t>
        </is>
      </c>
      <c r="G289" s="10" t="inlineStr">
        <is>
          <t>Yes</t>
        </is>
      </c>
      <c r="H289" s="10" t="inlineStr"/>
      <c r="I289" s="10" t="inlineStr"/>
      <c r="J289" s="10" t="inlineStr"/>
      <c r="K289" s="10" t="inlineStr"/>
      <c r="L289" s="10" t="inlineStr"/>
      <c r="M289" s="10" t="inlineStr"/>
    </row>
    <row r="290">
      <c r="A290" s="10" t="n">
        <v>18</v>
      </c>
      <c r="B290" s="10" t="inlineStr">
        <is>
          <t>END TIME BEFORE START TIME IS ACCEPTED  (HIGH)</t>
        </is>
      </c>
      <c r="C290" s="10" t="inlineStr">
        <is>
          <t>18.19</t>
        </is>
      </c>
      <c r="D290" s="10" t="inlineStr">
        <is>
          <t>After</t>
        </is>
      </c>
      <c r="E290" s="10" t="inlineStr">
        <is>
          <t>AFTER (expected)</t>
        </is>
      </c>
      <c r="F290" s="10" t="inlineStr">
        <is>
          <t>12-hour vs 24-hour display: 12:00 AM/PM, 12:30 PM, 11:59 PM and midnight edge cases compare correctly ("12:00 AM" is the earliest time of the day).</t>
        </is>
      </c>
      <c r="G290" s="10" t="inlineStr"/>
      <c r="H290" s="10" t="inlineStr"/>
      <c r="I290" s="10" t="inlineStr"/>
      <c r="J290" s="10" t="inlineStr"/>
      <c r="K290" s="10" t="inlineStr"/>
      <c r="L290" s="10" t="inlineStr"/>
      <c r="M290" s="10" t="inlineStr"/>
    </row>
    <row r="291">
      <c r="A291" s="10" t="n">
        <v>18</v>
      </c>
      <c r="B291" s="10" t="inlineStr">
        <is>
          <t>END TIME BEFORE START TIME IS ACCEPTED  (HIGH)</t>
        </is>
      </c>
      <c r="C291" s="10" t="inlineStr">
        <is>
          <t>18.20</t>
        </is>
      </c>
      <c r="D291" s="10" t="inlineStr">
        <is>
          <t>After</t>
        </is>
      </c>
      <c r="E291" s="10" t="inlineStr">
        <is>
          <t>AFTER (expected)</t>
        </is>
      </c>
      <c r="F291" s="10" t="inlineStr">
        <is>
          <t>Time zone / device 24h setting: same result on Android and iPhone.</t>
        </is>
      </c>
      <c r="G291" s="10" t="inlineStr"/>
      <c r="H291" s="10" t="inlineStr"/>
      <c r="I291" s="10" t="inlineStr"/>
      <c r="J291" s="10" t="inlineStr"/>
      <c r="K291" s="10" t="inlineStr"/>
      <c r="L291" s="10" t="inlineStr"/>
      <c r="M291" s="10" t="inlineStr"/>
    </row>
    <row r="292">
      <c r="A292" s="10" t="n">
        <v>18</v>
      </c>
      <c r="B292" s="10" t="inlineStr">
        <is>
          <t>END TIME BEFORE START TIME IS ACCEPTED  (HIGH)</t>
        </is>
      </c>
      <c r="C292" s="10" t="inlineStr">
        <is>
          <t>18.21</t>
        </is>
      </c>
      <c r="D292" s="10" t="inlineStr">
        <is>
          <t>After</t>
        </is>
      </c>
      <c r="E292" s="10" t="inlineStr">
        <is>
          <t>AFTER (expected)</t>
        </is>
      </c>
      <c r="F292" s="10" t="inlineStr">
        <is>
          <t>RSVP/Add-to-calendar/invite emails still show correct times for valid events.</t>
        </is>
      </c>
      <c r="G292" s="10" t="inlineStr"/>
      <c r="H292" s="10" t="inlineStr"/>
      <c r="I292" s="10" t="inlineStr"/>
      <c r="J292" s="10" t="inlineStr"/>
      <c r="K292" s="10" t="inlineStr"/>
      <c r="L292" s="10" t="inlineStr"/>
      <c r="M292" s="10" t="inlineStr"/>
    </row>
    <row r="293">
      <c r="A293" s="10" t="n">
        <v>19</v>
      </c>
      <c r="B293" s="10" t="inlineStr">
        <is>
          <t>INVITED GUARDIAN: PLAYER ONLY IN "MY ATHLETES", NOT UNDER TEAM  (CRITICAL)</t>
        </is>
      </c>
      <c r="C293" s="10" t="inlineStr">
        <is>
          <t>19.1</t>
        </is>
      </c>
      <c r="D293" s="10" t="inlineStr">
        <is>
          <t>Before</t>
        </is>
      </c>
      <c r="E293" s="10" t="inlineStr">
        <is>
          <t>BEFORE (current build)</t>
        </is>
      </c>
      <c r="F293" s="10" t="inlineStr">
        <is>
          <t>A + S1 + N: send invite; guardian accepts (opens email, signs in / sets password). Note guardian's Home: My Athletes shows the child? Team / seasons shown?</t>
        </is>
      </c>
      <c r="G293" s="10" t="inlineStr"/>
      <c r="H293" s="10" t="inlineStr"/>
      <c r="I293" s="10" t="inlineStr"/>
      <c r="J293" s="10" t="inlineStr"/>
      <c r="K293" s="10" t="inlineStr"/>
      <c r="L293" s="10" t="inlineStr"/>
      <c r="M293" s="10" t="inlineStr"/>
    </row>
    <row r="294">
      <c r="A294" s="10" t="n">
        <v>19</v>
      </c>
      <c r="B294" s="10" t="inlineStr">
        <is>
          <t>INVITED GUARDIAN: PLAYER ONLY IN "MY ATHLETES", NOT UNDER TEAM  (CRITICAL)</t>
        </is>
      </c>
      <c r="C294" s="10" t="inlineStr">
        <is>
          <t>19.2</t>
        </is>
      </c>
      <c r="D294" s="10" t="inlineStr">
        <is>
          <t>Before</t>
        </is>
      </c>
      <c r="E294" s="10" t="inlineStr">
        <is>
          <t>BEFORE (current build)</t>
        </is>
      </c>
      <c r="F294" s="10" t="inlineStr">
        <is>
          <t>A + S0 + N.</t>
        </is>
      </c>
      <c r="G294" s="10" t="inlineStr"/>
      <c r="H294" s="10" t="inlineStr"/>
      <c r="I294" s="10" t="inlineStr"/>
      <c r="J294" s="10" t="inlineStr"/>
      <c r="K294" s="10" t="inlineStr"/>
      <c r="L294" s="10" t="inlineStr"/>
      <c r="M294" s="10" t="inlineStr"/>
    </row>
    <row r="295">
      <c r="A295" s="10" t="n">
        <v>19</v>
      </c>
      <c r="B295" s="10" t="inlineStr">
        <is>
          <t>INVITED GUARDIAN: PLAYER ONLY IN "MY ATHLETES", NOT UNDER TEAM  (CRITICAL)</t>
        </is>
      </c>
      <c r="C295" s="10" t="inlineStr">
        <is>
          <t>19.3</t>
        </is>
      </c>
      <c r="D295" s="10" t="inlineStr">
        <is>
          <t>Before</t>
        </is>
      </c>
      <c r="E295" s="10" t="inlineStr">
        <is>
          <t>BEFORE (current build)</t>
        </is>
      </c>
      <c r="F295" s="10" t="inlineStr">
        <is>
          <t>B + S1 + N (child is an evaluation participant AND on the team).</t>
        </is>
      </c>
      <c r="G295" s="10" t="inlineStr"/>
      <c r="H295" s="10" t="inlineStr"/>
      <c r="I295" s="10" t="inlineStr"/>
      <c r="J295" s="10" t="inlineStr"/>
      <c r="K295" s="10" t="inlineStr"/>
      <c r="L295" s="10" t="inlineStr"/>
      <c r="M295" s="10" t="inlineStr"/>
    </row>
    <row r="296">
      <c r="A296" s="10" t="n">
        <v>19</v>
      </c>
      <c r="B296" s="10" t="inlineStr">
        <is>
          <t>INVITED GUARDIAN: PLAYER ONLY IN "MY ATHLETES", NOT UNDER TEAM  (CRITICAL)</t>
        </is>
      </c>
      <c r="C296" s="10" t="inlineStr">
        <is>
          <t>19.4</t>
        </is>
      </c>
      <c r="D296" s="10" t="inlineStr">
        <is>
          <t>Before</t>
        </is>
      </c>
      <c r="E296" s="10" t="inlineStr">
        <is>
          <t>BEFORE (current build)</t>
        </is>
      </c>
      <c r="F296" s="10" t="inlineStr">
        <is>
          <t>B + S1 + N where the child is an evaluation participant only (NOT on the team roster).</t>
        </is>
      </c>
      <c r="G296" s="10" t="inlineStr"/>
      <c r="H296" s="10" t="inlineStr"/>
      <c r="I296" s="10" t="inlineStr"/>
      <c r="J296" s="10" t="inlineStr"/>
      <c r="K296" s="10" t="inlineStr"/>
      <c r="L296" s="10" t="inlineStr"/>
      <c r="M296" s="10" t="inlineStr"/>
    </row>
    <row r="297">
      <c r="A297" s="10" t="n">
        <v>19</v>
      </c>
      <c r="B297" s="10" t="inlineStr">
        <is>
          <t>INVITED GUARDIAN: PLAYER ONLY IN "MY ATHLETES", NOT UNDER TEAM  (CRITICAL)</t>
        </is>
      </c>
      <c r="C297" s="10" t="inlineStr">
        <is>
          <t>19.5</t>
        </is>
      </c>
      <c r="D297" s="10" t="inlineStr">
        <is>
          <t>Before</t>
        </is>
      </c>
      <c r="E297" s="10" t="inlineStr">
        <is>
          <t>BEFORE (current build)</t>
        </is>
      </c>
      <c r="F297" s="10" t="inlineStr">
        <is>
          <t>A/B with E (existing account).</t>
        </is>
      </c>
      <c r="G297" s="10" t="inlineStr"/>
      <c r="H297" s="10" t="inlineStr"/>
      <c r="I297" s="10" t="inlineStr"/>
      <c r="J297" s="10" t="inlineStr"/>
      <c r="K297" s="10" t="inlineStr"/>
      <c r="L297" s="10" t="inlineStr"/>
      <c r="M297" s="10" t="inlineStr"/>
    </row>
    <row r="298">
      <c r="A298" s="10" t="n">
        <v>19</v>
      </c>
      <c r="B298" s="10" t="inlineStr">
        <is>
          <t>INVITED GUARDIAN: PLAYER ONLY IN "MY ATHLETES", NOT UNDER TEAM  (CRITICAL)</t>
        </is>
      </c>
      <c r="C298" s="10" t="inlineStr">
        <is>
          <t>19.6</t>
        </is>
      </c>
      <c r="D298" s="10" t="inlineStr">
        <is>
          <t>Before</t>
        </is>
      </c>
      <c r="E298" s="10" t="inlineStr">
        <is>
          <t>BEFORE (current build)</t>
        </is>
      </c>
      <c r="F298" s="10" t="inlineStr">
        <is>
          <t>For each: what does the COACH see on Team &gt; Players for that child (present / missing, guardian badge "Account Linked")?</t>
        </is>
      </c>
      <c r="G298" s="10" t="inlineStr"/>
      <c r="H298" s="10" t="inlineStr"/>
      <c r="I298" s="10" t="inlineStr"/>
      <c r="J298" s="10" t="inlineStr"/>
      <c r="K298" s="10" t="inlineStr"/>
      <c r="L298" s="10" t="inlineStr"/>
      <c r="M298" s="10" t="inlineStr"/>
    </row>
    <row r="299">
      <c r="A299" s="10" t="n">
        <v>19</v>
      </c>
      <c r="B299" s="10" t="inlineStr">
        <is>
          <t>INVITED GUARDIAN: PLAYER ONLY IN "MY ATHLETES", NOT UNDER TEAM  (CRITICAL)</t>
        </is>
      </c>
      <c r="C299" s="10" t="inlineStr">
        <is>
          <t>19.7</t>
        </is>
      </c>
      <c r="D299" s="10" t="inlineStr">
        <is>
          <t>Before</t>
        </is>
      </c>
      <c r="E299" s="10" t="inlineStr">
        <is>
          <t>BEFORE (current build)</t>
        </is>
      </c>
      <c r="F299" s="10" t="inlineStr">
        <is>
          <t>Expected bug: child is under My Athletes, with "No active seasons assigned yet", and the team is not reachable from the guardian's Team area.</t>
        </is>
      </c>
      <c r="G299" s="10" t="inlineStr"/>
      <c r="H299" s="10" t="inlineStr"/>
      <c r="I299" s="10" t="inlineStr"/>
      <c r="J299" s="10" t="inlineStr"/>
      <c r="K299" s="10" t="inlineStr"/>
      <c r="L299" s="10" t="inlineStr"/>
      <c r="M299" s="10" t="inlineStr"/>
    </row>
    <row r="300">
      <c r="A300" s="10" t="n">
        <v>19</v>
      </c>
      <c r="B300" s="10" t="inlineStr">
        <is>
          <t>INVITED GUARDIAN: PLAYER ONLY IN "MY ATHLETES", NOT UNDER TEAM  (CRITICAL)</t>
        </is>
      </c>
      <c r="C300" s="10" t="inlineStr">
        <is>
          <t>19.8</t>
        </is>
      </c>
      <c r="D300" s="10" t="inlineStr">
        <is>
          <t>After</t>
        </is>
      </c>
      <c r="E300" s="10" t="inlineStr">
        <is>
          <t>AFTER (expected)</t>
        </is>
      </c>
      <c r="F300" s="10" t="inlineStr">
        <is>
          <t>After the guardian accepts: the child appears under My Athletes AND the guardian can see the team (team card / Teams area, schedule, chat) in every matrix cell.</t>
        </is>
      </c>
      <c r="G300" s="10" t="inlineStr"/>
      <c r="H300" s="10" t="inlineStr"/>
      <c r="I300" s="10" t="inlineStr"/>
      <c r="J300" s="10" t="inlineStr"/>
      <c r="K300" s="10" t="inlineStr"/>
      <c r="L300" s="10" t="inlineStr"/>
      <c r="M300" s="10" t="inlineStr"/>
    </row>
    <row r="301">
      <c r="A301" s="10" t="n">
        <v>19</v>
      </c>
      <c r="B301" s="10" t="inlineStr">
        <is>
          <t>INVITED GUARDIAN: PLAYER ONLY IN "MY ATHLETES", NOT UNDER TEAM  (CRITICAL)</t>
        </is>
      </c>
      <c r="C301" s="10" t="inlineStr">
        <is>
          <t>19.9</t>
        </is>
      </c>
      <c r="D301" s="10" t="inlineStr">
        <is>
          <t>After</t>
        </is>
      </c>
      <c r="E301" s="10" t="inlineStr">
        <is>
          <t>AFTER (expected)</t>
        </is>
      </c>
      <c r="F301" s="10" t="inlineStr">
        <is>
          <t>Team with no season yet: guardian still sees the team (or gets a clear "season not started" state), not a silent nothing.</t>
        </is>
      </c>
      <c r="G301" s="10" t="inlineStr"/>
      <c r="H301" s="10" t="inlineStr"/>
      <c r="I301" s="10" t="inlineStr"/>
      <c r="J301" s="10" t="inlineStr"/>
      <c r="K301" s="10" t="inlineStr"/>
      <c r="L301" s="10" t="inlineStr"/>
      <c r="M301" s="10" t="inlineStr"/>
    </row>
    <row r="302">
      <c r="A302" s="10" t="n">
        <v>19</v>
      </c>
      <c r="B302" s="10" t="inlineStr">
        <is>
          <t>INVITED GUARDIAN: PLAYER ONLY IN "MY ATHLETES", NOT UNDER TEAM  (CRITICAL)</t>
        </is>
      </c>
      <c r="C302" s="10" t="inlineStr">
        <is>
          <t>19.10</t>
        </is>
      </c>
      <c r="D302" s="10" t="inlineStr">
        <is>
          <t>After</t>
        </is>
      </c>
      <c r="E302" s="10" t="inlineStr">
        <is>
          <t>AFTER (expected)</t>
        </is>
      </c>
      <c r="F302" s="10" t="inlineStr">
        <is>
          <t>Coach's Team &gt; Players shows the child once (no duplicate) with "Account Linked".</t>
        </is>
      </c>
      <c r="G302" s="10" t="inlineStr"/>
      <c r="H302" s="10" t="inlineStr"/>
      <c r="I302" s="10" t="inlineStr"/>
      <c r="J302" s="10" t="inlineStr"/>
      <c r="K302" s="10" t="inlineStr"/>
      <c r="L302" s="10" t="inlineStr"/>
      <c r="M302" s="10" t="inlineStr"/>
    </row>
    <row r="303">
      <c r="A303" s="10" t="n">
        <v>19</v>
      </c>
      <c r="B303" s="10" t="inlineStr">
        <is>
          <t>INVITED GUARDIAN: PLAYER ONLY IN "MY ATHLETES", NOT UNDER TEAM  (CRITICAL)</t>
        </is>
      </c>
      <c r="C303" s="10" t="inlineStr">
        <is>
          <t>19.11</t>
        </is>
      </c>
      <c r="D303" s="10" t="inlineStr">
        <is>
          <t>After</t>
        </is>
      </c>
      <c r="E303" s="10" t="inlineStr">
        <is>
          <t>AFTER (expected)</t>
        </is>
      </c>
      <c r="F303" s="10" t="inlineStr">
        <is>
          <t>Inviting from the evaluation player card for a player who is not on the team: outcome agreed with Shawn (add to team? prompt?) and consistent.</t>
        </is>
      </c>
      <c r="G303" s="10" t="inlineStr"/>
      <c r="H303" s="10" t="inlineStr"/>
      <c r="I303" s="10" t="inlineStr"/>
      <c r="J303" s="10" t="inlineStr"/>
      <c r="K303" s="10" t="inlineStr"/>
      <c r="L303" s="10" t="inlineStr"/>
      <c r="M303" s="10" t="inlineStr"/>
    </row>
    <row r="304">
      <c r="A304" s="10" t="n">
        <v>19</v>
      </c>
      <c r="B304" s="10" t="inlineStr">
        <is>
          <t>INVITED GUARDIAN: PLAYER ONLY IN "MY ATHLETES", NOT UNDER TEAM  (CRITICAL)</t>
        </is>
      </c>
      <c r="C304" s="10" t="inlineStr">
        <is>
          <t>19.12</t>
        </is>
      </c>
      <c r="D304" s="10" t="inlineStr">
        <is>
          <t>After</t>
        </is>
      </c>
      <c r="E304" s="10" t="inlineStr">
        <is>
          <t>AFTER (expected)</t>
        </is>
      </c>
      <c r="F304" s="10" t="inlineStr">
        <is>
          <t>Guardian with two children on two teams: both teams visible.</t>
        </is>
      </c>
      <c r="G304" s="10" t="inlineStr"/>
      <c r="H304" s="10" t="inlineStr"/>
      <c r="I304" s="10" t="inlineStr"/>
      <c r="J304" s="10" t="inlineStr"/>
      <c r="K304" s="10" t="inlineStr"/>
      <c r="L304" s="10" t="inlineStr"/>
      <c r="M304" s="10" t="inlineStr"/>
    </row>
    <row r="305">
      <c r="A305" s="10" t="n">
        <v>19</v>
      </c>
      <c r="B305" s="10" t="inlineStr">
        <is>
          <t>INVITED GUARDIAN: PLAYER ONLY IN "MY ATHLETES", NOT UNDER TEAM  (CRITICAL)</t>
        </is>
      </c>
      <c r="C305" s="10" t="inlineStr">
        <is>
          <t>19.13</t>
        </is>
      </c>
      <c r="D305" s="10" t="inlineStr">
        <is>
          <t>After</t>
        </is>
      </c>
      <c r="E305" s="10" t="inlineStr">
        <is>
          <t>AFTER (expected)</t>
        </is>
      </c>
      <c r="F305" s="10" t="inlineStr">
        <is>
          <t>Guardian who is ALSO a coach: My Athletes + own Teams both work; no team shown twice.</t>
        </is>
      </c>
      <c r="G305" s="10" t="inlineStr"/>
      <c r="H305" s="10" t="inlineStr"/>
      <c r="I305" s="10" t="inlineStr"/>
      <c r="J305" s="10" t="inlineStr"/>
      <c r="K305" s="10" t="inlineStr"/>
      <c r="L305" s="10" t="inlineStr"/>
      <c r="M305" s="10" t="inlineStr"/>
    </row>
    <row r="306">
      <c r="A306" s="10" t="n">
        <v>19</v>
      </c>
      <c r="B306" s="10" t="inlineStr">
        <is>
          <t>INVITED GUARDIAN: PLAYER ONLY IN "MY ATHLETES", NOT UNDER TEAM  (CRITICAL)</t>
        </is>
      </c>
      <c r="C306" s="10" t="inlineStr">
        <is>
          <t>19.14</t>
        </is>
      </c>
      <c r="D306" s="10" t="inlineStr">
        <is>
          <t>After</t>
        </is>
      </c>
      <c r="E306" s="10" t="inlineStr">
        <is>
          <t>AFTER (expected)</t>
        </is>
      </c>
      <c r="F306" s="10" t="inlineStr">
        <is>
          <t>Guardian leaves the team ("Leave Team"): child disappears from the team area but the athlete record / evaluations history are kept; coach roster unchanged or updated as designed.</t>
        </is>
      </c>
      <c r="G306" s="10" t="inlineStr"/>
      <c r="H306" s="10" t="inlineStr"/>
      <c r="I306" s="10" t="inlineStr"/>
      <c r="J306" s="10" t="inlineStr"/>
      <c r="K306" s="10" t="inlineStr"/>
      <c r="L306" s="10" t="inlineStr"/>
      <c r="M306" s="10" t="inlineStr"/>
    </row>
    <row r="307">
      <c r="A307" s="10" t="n">
        <v>19</v>
      </c>
      <c r="B307" s="10" t="inlineStr">
        <is>
          <t>INVITED GUARDIAN: PLAYER ONLY IN "MY ATHLETES", NOT UNDER TEAM  (CRITICAL)</t>
        </is>
      </c>
      <c r="C307" s="10" t="inlineStr">
        <is>
          <t>19.15</t>
        </is>
      </c>
      <c r="D307" s="10" t="inlineStr">
        <is>
          <t>After</t>
        </is>
      </c>
      <c r="E307" s="10" t="inlineStr">
        <is>
          <t>AFTER (expected)</t>
        </is>
      </c>
      <c r="F307" s="10" t="inlineStr">
        <is>
          <t>Coach removes the child from the team: guardian's team entry disappears; My Athletes card behaviour matches the current rule (hidden when nothing active is left).</t>
        </is>
      </c>
      <c r="G307" s="10" t="inlineStr"/>
      <c r="H307" s="10" t="inlineStr"/>
      <c r="I307" s="10" t="inlineStr"/>
      <c r="J307" s="10" t="inlineStr"/>
      <c r="K307" s="10" t="inlineStr"/>
      <c r="L307" s="10" t="inlineStr"/>
      <c r="M307" s="10" t="inlineStr"/>
    </row>
    <row r="308">
      <c r="A308" s="10" t="n">
        <v>19</v>
      </c>
      <c r="B308" s="10" t="inlineStr">
        <is>
          <t>INVITED GUARDIAN: PLAYER ONLY IN "MY ATHLETES", NOT UNDER TEAM  (CRITICAL)</t>
        </is>
      </c>
      <c r="C308" s="10" t="inlineStr">
        <is>
          <t>19.16</t>
        </is>
      </c>
      <c r="D308" s="10" t="inlineStr">
        <is>
          <t>After</t>
        </is>
      </c>
      <c r="E308" s="10" t="inlineStr">
        <is>
          <t>AFTER (expected)</t>
        </is>
      </c>
      <c r="F308" s="10" t="inlineStr">
        <is>
          <t>Invite resend / re-invite (account was deleted): still works and re-links to the same child.</t>
        </is>
      </c>
      <c r="G308" s="10" t="inlineStr"/>
      <c r="H308" s="10" t="inlineStr"/>
      <c r="I308" s="10" t="inlineStr"/>
      <c r="J308" s="10" t="inlineStr"/>
      <c r="K308" s="10" t="inlineStr"/>
      <c r="L308" s="10" t="inlineStr"/>
      <c r="M308" s="10" t="inlineStr"/>
    </row>
    <row r="309">
      <c r="A309" s="10" t="n">
        <v>19</v>
      </c>
      <c r="B309" s="10" t="inlineStr">
        <is>
          <t>INVITED GUARDIAN: PLAYER ONLY IN "MY ATHLETES", NOT UNDER TEAM  (CRITICAL)</t>
        </is>
      </c>
      <c r="C309" s="10" t="inlineStr">
        <is>
          <t>19.17</t>
        </is>
      </c>
      <c r="D309" s="10" t="inlineStr">
        <is>
          <t>After</t>
        </is>
      </c>
      <c r="E309" s="10" t="inlineStr">
        <is>
          <t>AFTER (expected)</t>
        </is>
      </c>
      <c r="F309" s="10" t="inlineStr">
        <is>
          <t>Emails: invite email content/links still correct; token can only be used once; wrong email cannot claim the child.</t>
        </is>
      </c>
      <c r="G309" s="10" t="inlineStr"/>
      <c r="H309" s="10" t="inlineStr"/>
      <c r="I309" s="10" t="inlineStr"/>
      <c r="J309" s="10" t="inlineStr"/>
      <c r="K309" s="10" t="inlineStr"/>
      <c r="L309" s="10" t="inlineStr"/>
      <c r="M309" s="10" t="inlineStr"/>
    </row>
    <row r="310">
      <c r="A310" s="10" t="n">
        <v>19</v>
      </c>
      <c r="B310" s="10" t="inlineStr">
        <is>
          <t>INVITED GUARDIAN: PLAYER ONLY IN "MY ATHLETES", NOT UNDER TEAM  (CRITICAL)</t>
        </is>
      </c>
      <c r="C310" s="10" t="inlineStr">
        <is>
          <t>19.18</t>
        </is>
      </c>
      <c r="D310" s="10" t="inlineStr">
        <is>
          <t>After</t>
        </is>
      </c>
      <c r="E310" s="10" t="inlineStr">
        <is>
          <t>AFTER (expected)</t>
        </is>
      </c>
      <c r="F310" s="10" t="inlineStr">
        <is>
          <t>RLS: a different guardian cannot see this child or team.</t>
        </is>
      </c>
      <c r="G310" s="10" t="inlineStr"/>
      <c r="H310" s="10" t="inlineStr"/>
      <c r="I310" s="10" t="inlineStr"/>
      <c r="J310" s="10" t="inlineStr"/>
      <c r="K310" s="10" t="inlineStr"/>
      <c r="L310" s="10" t="inlineStr"/>
      <c r="M310" s="10" t="inlineStr"/>
    </row>
    <row r="311">
      <c r="A311" s="10" t="n">
        <v>19</v>
      </c>
      <c r="B311" s="10" t="inlineStr">
        <is>
          <t>INVITED GUARDIAN: PLAYER ONLY IN "MY ATHLETES", NOT UNDER TEAM  (CRITICAL)</t>
        </is>
      </c>
      <c r="C311" s="10" t="inlineStr">
        <is>
          <t>19.19</t>
        </is>
      </c>
      <c r="D311" s="10" t="inlineStr">
        <is>
          <t>After</t>
        </is>
      </c>
      <c r="E311" s="10" t="inlineStr">
        <is>
          <t>AFTER (expected)</t>
        </is>
      </c>
      <c r="F311" s="10" t="inlineStr">
        <is>
          <t>Schedule / RSVP / fee status for that child shown to the guardian after acceptance.</t>
        </is>
      </c>
      <c r="G311" s="10" t="inlineStr"/>
      <c r="H311" s="10" t="inlineStr"/>
      <c r="I311" s="10" t="inlineStr"/>
      <c r="J311" s="10" t="inlineStr"/>
      <c r="K311" s="10" t="inlineStr"/>
      <c r="L311" s="10" t="inlineStr"/>
      <c r="M311" s="10" t="inlineStr"/>
    </row>
    <row r="312">
      <c r="A312" s="10" t="n">
        <v>19</v>
      </c>
      <c r="B312" s="10" t="inlineStr">
        <is>
          <t>INVITED GUARDIAN: PLAYER ONLY IN "MY ATHLETES", NOT UNDER TEAM  (CRITICAL)</t>
        </is>
      </c>
      <c r="C312" s="10" t="inlineStr">
        <is>
          <t>19.20</t>
        </is>
      </c>
      <c r="D312" s="10" t="inlineStr">
        <is>
          <t>After</t>
        </is>
      </c>
      <c r="E312" s="10" t="inlineStr">
        <is>
          <t>AFTER (expected)</t>
        </is>
      </c>
      <c r="F312" s="10" t="inlineStr">
        <is>
          <t>Already-working case (child added via registration flow) still shows correctly.</t>
        </is>
      </c>
      <c r="G312" s="10" t="inlineStr"/>
      <c r="H312" s="10" t="inlineStr"/>
      <c r="I312" s="10" t="inlineStr"/>
      <c r="J312" s="10" t="inlineStr"/>
      <c r="K312" s="10" t="inlineStr"/>
      <c r="L312" s="10" t="inlineStr"/>
      <c r="M312" s="10" t="inlineStr"/>
    </row>
    <row r="313">
      <c r="A313" s="10" t="n">
        <v>20</v>
      </c>
      <c r="B313" s="10" t="inlineStr">
        <is>
          <t>REGRESSION CHECKLIST FOR ADDENDUM 2</t>
        </is>
      </c>
      <c r="C313" s="10" t="inlineStr">
        <is>
          <t>20.1</t>
        </is>
      </c>
      <c r="D313" s="10" t="inlineStr">
        <is>
          <t>Regression</t>
        </is>
      </c>
      <c r="E313" s="10" t="inlineStr"/>
      <c r="F313" s="10" t="inlineStr">
        <is>
          <t>Team screen: Schedule / Players / Evaluations / Options all open, badges correct, no layout jump from the new header.</t>
        </is>
      </c>
      <c r="G313" s="10" t="inlineStr"/>
      <c r="H313" s="10" t="inlineStr"/>
      <c r="I313" s="10" t="inlineStr"/>
      <c r="J313" s="10" t="inlineStr"/>
      <c r="K313" s="10" t="inlineStr"/>
      <c r="L313" s="10" t="inlineStr"/>
      <c r="M313" s="10" t="inlineStr"/>
    </row>
    <row r="314">
      <c r="A314" s="10" t="n">
        <v>20</v>
      </c>
      <c r="B314" s="10" t="inlineStr">
        <is>
          <t>REGRESSION CHECKLIST FOR ADDENDUM 2</t>
        </is>
      </c>
      <c r="C314" s="10" t="inlineStr">
        <is>
          <t>20.2</t>
        </is>
      </c>
      <c r="D314" s="10" t="inlineStr">
        <is>
          <t>Regression</t>
        </is>
      </c>
      <c r="E314" s="10" t="inlineStr"/>
      <c r="F314" s="10" t="inlineStr">
        <is>
          <t>Players tab: Select mode, Import, Add, Send Invites unchanged.</t>
        </is>
      </c>
      <c r="G314" s="10" t="inlineStr"/>
      <c r="H314" s="10" t="inlineStr"/>
      <c r="I314" s="10" t="inlineStr"/>
      <c r="J314" s="10" t="inlineStr"/>
      <c r="K314" s="10" t="inlineStr"/>
      <c r="L314" s="10" t="inlineStr"/>
      <c r="M314" s="10" t="inlineStr"/>
    </row>
    <row r="315">
      <c r="A315" s="10" t="n">
        <v>20</v>
      </c>
      <c r="B315" s="10" t="inlineStr">
        <is>
          <t>REGRESSION CHECKLIST FOR ADDENDUM 2</t>
        </is>
      </c>
      <c r="C315" s="10" t="inlineStr">
        <is>
          <t>20.3</t>
        </is>
      </c>
      <c r="D315" s="10" t="inlineStr">
        <is>
          <t>Regression</t>
        </is>
      </c>
      <c r="E315" s="10" t="inlineStr"/>
      <c r="F315" s="10" t="inlineStr">
        <is>
          <t>Team Managers card + Dummy Data + Delete Team unchanged.</t>
        </is>
      </c>
      <c r="G315" s="10" t="inlineStr"/>
      <c r="H315" s="10" t="inlineStr"/>
      <c r="I315" s="10" t="inlineStr"/>
      <c r="J315" s="10" t="inlineStr"/>
      <c r="K315" s="10" t="inlineStr"/>
      <c r="L315" s="10" t="inlineStr"/>
      <c r="M315" s="10" t="inlineStr"/>
    </row>
    <row r="316">
      <c r="A316" s="10" t="n">
        <v>20</v>
      </c>
      <c r="B316" s="10" t="inlineStr">
        <is>
          <t>REGRESSION CHECKLIST FOR ADDENDUM 2</t>
        </is>
      </c>
      <c r="C316" s="10" t="inlineStr">
        <is>
          <t>20.4</t>
        </is>
      </c>
      <c r="D316" s="10" t="inlineStr">
        <is>
          <t>Regression</t>
        </is>
      </c>
      <c r="E316" s="10" t="inlineStr"/>
      <c r="F316" s="10" t="inlineStr">
        <is>
          <t>Team event create/edit/delete, RSVPs, Add to calendar.</t>
        </is>
      </c>
      <c r="G316" s="10" t="inlineStr"/>
      <c r="H316" s="10" t="inlineStr"/>
      <c r="I316" s="10" t="inlineStr"/>
      <c r="J316" s="10" t="inlineStr"/>
      <c r="K316" s="10" t="inlineStr"/>
      <c r="L316" s="10" t="inlineStr"/>
      <c r="M316" s="10" t="inlineStr"/>
    </row>
    <row r="317">
      <c r="A317" s="10" t="n">
        <v>20</v>
      </c>
      <c r="B317" s="10" t="inlineStr">
        <is>
          <t>REGRESSION CHECKLIST FOR ADDENDUM 2</t>
        </is>
      </c>
      <c r="C317" s="10" t="inlineStr">
        <is>
          <t>20.5</t>
        </is>
      </c>
      <c r="D317" s="10" t="inlineStr">
        <is>
          <t>Regression</t>
        </is>
      </c>
      <c r="E317" s="10" t="inlineStr"/>
      <c r="F317" s="10" t="inlineStr">
        <is>
          <t>Evaluation create/edit (date + time pickers), incl. the new tile pencil dialog.</t>
        </is>
      </c>
      <c r="G317" s="10" t="inlineStr"/>
      <c r="H317" s="10" t="inlineStr"/>
      <c r="I317" s="10" t="inlineStr"/>
      <c r="J317" s="10" t="inlineStr"/>
      <c r="K317" s="10" t="inlineStr"/>
      <c r="L317" s="10" t="inlineStr"/>
      <c r="M317" s="10" t="inlineStr"/>
    </row>
    <row r="318">
      <c r="A318" s="10" t="n">
        <v>20</v>
      </c>
      <c r="B318" s="10" t="inlineStr">
        <is>
          <t>REGRESSION CHECKLIST FOR ADDENDUM 2</t>
        </is>
      </c>
      <c r="C318" s="10" t="inlineStr">
        <is>
          <t>20.6</t>
        </is>
      </c>
      <c r="D318" s="10" t="inlineStr">
        <is>
          <t>Regression</t>
        </is>
      </c>
      <c r="E318" s="10" t="inlineStr"/>
      <c r="F318" s="10" t="inlineStr">
        <is>
          <t>Letters: create/edit/delete template, send to selected players, sent list, player card shows the letter.</t>
        </is>
      </c>
      <c r="G318" s="10" t="inlineStr"/>
      <c r="H318" s="10" t="inlineStr"/>
      <c r="I318" s="10" t="inlineStr"/>
      <c r="J318" s="10" t="inlineStr"/>
      <c r="K318" s="10" t="inlineStr"/>
      <c r="L318" s="10" t="inlineStr"/>
      <c r="M318" s="10" t="inlineStr"/>
    </row>
    <row r="319">
      <c r="A319" s="10" t="n">
        <v>20</v>
      </c>
      <c r="B319" s="10" t="inlineStr">
        <is>
          <t>REGRESSION CHECKLIST FOR ADDENDUM 2</t>
        </is>
      </c>
      <c r="C319" s="10" t="inlineStr">
        <is>
          <t>20.7</t>
        </is>
      </c>
      <c r="D319" s="10" t="inlineStr">
        <is>
          <t>Regression</t>
        </is>
      </c>
      <c r="E319" s="10" t="inlineStr"/>
      <c r="F319" s="10" t="inlineStr">
        <is>
          <t>Every bottom-sheet form still opens, scrolls and saves on Android + iPhone (shared Modal change).</t>
        </is>
      </c>
      <c r="G319" s="10" t="inlineStr"/>
      <c r="H319" s="10" t="inlineStr"/>
      <c r="I319" s="10" t="inlineStr"/>
      <c r="J319" s="10" t="inlineStr"/>
      <c r="K319" s="10" t="inlineStr"/>
      <c r="L319" s="10" t="inlineStr"/>
      <c r="M319" s="10" t="inlineStr"/>
    </row>
    <row r="320">
      <c r="A320" s="10" t="n">
        <v>20</v>
      </c>
      <c r="B320" s="10" t="inlineStr">
        <is>
          <t>REGRESSION CHECKLIST FOR ADDENDUM 2</t>
        </is>
      </c>
      <c r="C320" s="10" t="inlineStr">
        <is>
          <t>20.8</t>
        </is>
      </c>
      <c r="D320" s="10" t="inlineStr">
        <is>
          <t>Regression</t>
        </is>
      </c>
      <c r="E320" s="10" t="inlineStr"/>
      <c r="F320" s="10" t="inlineStr">
        <is>
          <t>Invites: whole-roster send, single player send, resend.</t>
        </is>
      </c>
      <c r="G320" s="10" t="inlineStr"/>
      <c r="H320" s="10" t="inlineStr"/>
      <c r="I320" s="10" t="inlineStr"/>
      <c r="J320" s="10" t="inlineStr"/>
      <c r="K320" s="10" t="inlineStr"/>
      <c r="L320" s="10" t="inlineStr"/>
      <c r="M320" s="10" t="inlineStr"/>
    </row>
    <row r="321">
      <c r="A321" s="10" t="n">
        <v>20</v>
      </c>
      <c r="B321" s="10" t="inlineStr">
        <is>
          <t>REGRESSION CHECKLIST FOR ADDENDUM 2</t>
        </is>
      </c>
      <c r="C321" s="10" t="inlineStr">
        <is>
          <t>20.9</t>
        </is>
      </c>
      <c r="D321" s="10" t="inlineStr">
        <is>
          <t>Regression</t>
        </is>
      </c>
      <c r="E321" s="10" t="inlineStr"/>
      <c r="F321" s="10" t="inlineStr">
        <is>
          <t>Guardian home: My Athletes, Schedule, Leave Team, chat.</t>
        </is>
      </c>
      <c r="G321" s="10" t="inlineStr"/>
      <c r="H321" s="10" t="inlineStr"/>
      <c r="I321" s="10" t="inlineStr"/>
      <c r="J321" s="10" t="inlineStr"/>
      <c r="K321" s="10" t="inlineStr"/>
      <c r="L321" s="10" t="inlineStr"/>
      <c r="M321" s="10" t="inlineStr"/>
    </row>
    <row r="322">
      <c r="A322" s="10" t="n">
        <v>20</v>
      </c>
      <c r="B322" s="10" t="inlineStr">
        <is>
          <t>REGRESSION CHECKLIST FOR ADDENDUM 2</t>
        </is>
      </c>
      <c r="C322" s="10" t="inlineStr">
        <is>
          <t>20.10</t>
        </is>
      </c>
      <c r="D322" s="10" t="inlineStr">
        <is>
          <t>Regression</t>
        </is>
      </c>
      <c r="E322" s="10" t="inlineStr"/>
      <c r="F322" s="10" t="inlineStr">
        <is>
          <t>Exports: Team Builder XLSX/PDF, evaluation export unchanged.</t>
        </is>
      </c>
      <c r="G322" s="10" t="inlineStr"/>
      <c r="H322" s="10" t="inlineStr"/>
      <c r="I322" s="10" t="inlineStr"/>
      <c r="J322" s="10" t="inlineStr"/>
      <c r="K322" s="10" t="inlineStr"/>
      <c r="L322" s="10" t="inlineStr"/>
      <c r="M322" s="10" t="inlineStr"/>
    </row>
    <row r="323">
      <c r="A323" s="10" t="n">
        <v>20</v>
      </c>
      <c r="B323" s="10" t="inlineStr">
        <is>
          <t>REGRESSION CHECKLIST FOR ADDENDUM 2</t>
        </is>
      </c>
      <c r="C323" s="10" t="inlineStr">
        <is>
          <t>20.11</t>
        </is>
      </c>
      <c r="D323" s="10" t="inlineStr">
        <is>
          <t>Regression</t>
        </is>
      </c>
      <c r="E323" s="10" t="inlineStr"/>
      <c r="F323" s="10" t="inlineStr">
        <is>
          <t>Plan gates (Free / Pro / Club) still hide/show the same items.</t>
        </is>
      </c>
      <c r="G323" s="10" t="inlineStr"/>
      <c r="H323" s="10" t="inlineStr"/>
      <c r="I323" s="10" t="inlineStr"/>
      <c r="J323" s="10" t="inlineStr"/>
      <c r="K323" s="10" t="inlineStr"/>
      <c r="L323" s="10" t="inlineStr"/>
      <c r="M323" s="10" t="inlineStr"/>
    </row>
    <row r="324">
      <c r="A324" s="10" t="n">
        <v>20</v>
      </c>
      <c r="B324" s="10" t="inlineStr">
        <is>
          <t>REGRESSION CHECKLIST FOR ADDENDUM 2</t>
        </is>
      </c>
      <c r="C324" s="10" t="inlineStr">
        <is>
          <t>20.12</t>
        </is>
      </c>
      <c r="D324" s="10" t="inlineStr">
        <is>
          <t>Regression</t>
        </is>
      </c>
      <c r="E324" s="10" t="inlineStr"/>
      <c r="F324" s="10" t="inlineStr">
        <is>
          <t>Dark + light mode on every touched screen.</t>
        </is>
      </c>
      <c r="G324" s="10" t="inlineStr"/>
      <c r="H324" s="10" t="inlineStr"/>
      <c r="I324" s="10" t="inlineStr"/>
      <c r="J324" s="10" t="inlineStr"/>
      <c r="K324" s="10" t="inlineStr"/>
      <c r="L324" s="10" t="inlineStr"/>
      <c r="M324" s="10" t="inlineStr"/>
    </row>
    <row r="325">
      <c r="A325" s="10" t="n">
        <v>20</v>
      </c>
      <c r="B325" s="10" t="inlineStr">
        <is>
          <t>REGRESSION CHECKLIST FOR ADDENDUM 2</t>
        </is>
      </c>
      <c r="C325" s="10" t="inlineStr">
        <is>
          <t>20.13</t>
        </is>
      </c>
      <c r="D325" s="10" t="inlineStr">
        <is>
          <t>Regression</t>
        </is>
      </c>
      <c r="E325" s="10" t="inlineStr"/>
      <c r="F325" s="10" t="inlineStr">
        <is>
          <t>Cold start: no new red screens; note any new yellow warnings.</t>
        </is>
      </c>
      <c r="G325" s="10" t="inlineStr"/>
      <c r="H325" s="10" t="inlineStr"/>
      <c r="I325" s="10" t="inlineStr"/>
      <c r="J325" s="10" t="inlineStr"/>
      <c r="K325" s="10" t="inlineStr"/>
      <c r="L325" s="10" t="inlineStr"/>
      <c r="M325" s="10" t="inlineStr"/>
    </row>
    <row r="326">
      <c r="A326" s="10" t="n">
        <v>21</v>
      </c>
      <c r="B326" s="10" t="inlineStr">
        <is>
          <t>UPGRADE COACH -&gt; COACH+ CHARGES THE FULL $69.99  (CRITICAL)</t>
        </is>
      </c>
      <c r="C326" s="10" t="inlineStr">
        <is>
          <t>21.1</t>
        </is>
      </c>
      <c r="D326" s="10" t="inlineStr">
        <is>
          <t>Before</t>
        </is>
      </c>
      <c r="E326" s="10" t="inlineStr">
        <is>
          <t>BEFORE (old build)</t>
        </is>
      </c>
      <c r="F326" s="10" t="inlineStr">
        <is>
          <t>Account on Coach (paid, active). Profile &gt; Upgrade Plan &gt; Coach+. Confirm dialog says "charged CA$69.99 today... not credited".</t>
        </is>
      </c>
      <c r="G326" s="10" t="inlineStr"/>
      <c r="H326" s="10" t="inlineStr"/>
      <c r="I326" s="10" t="inlineStr"/>
      <c r="J326" s="10" t="inlineStr"/>
      <c r="K326" s="10" t="inlineStr"/>
      <c r="L326" s="10" t="inlineStr"/>
      <c r="M326" s="10" t="inlineStr"/>
    </row>
    <row r="327">
      <c r="A327" s="10" t="n">
        <v>21</v>
      </c>
      <c r="B327" s="10" t="inlineStr">
        <is>
          <t>UPGRADE COACH -&gt; COACH+ CHARGES THE FULL $69.99  (CRITICAL)</t>
        </is>
      </c>
      <c r="C327" s="10" t="inlineStr">
        <is>
          <t>21.2</t>
        </is>
      </c>
      <c r="D327" s="10" t="inlineStr">
        <is>
          <t>Before</t>
        </is>
      </c>
      <c r="E327" s="10" t="inlineStr">
        <is>
          <t>BEFORE (old build)</t>
        </is>
      </c>
      <c r="F327" s="10" t="inlineStr">
        <is>
          <t>Continue: Stripe Checkout shows the FULL Coach+ price (69.99), no credit for unused Coach time.</t>
        </is>
      </c>
      <c r="G327" s="10" t="inlineStr"/>
      <c r="H327" s="10" t="inlineStr"/>
      <c r="I327" s="10" t="inlineStr"/>
      <c r="J327" s="10" t="inlineStr"/>
      <c r="K327" s="10" t="inlineStr"/>
      <c r="L327" s="10" t="inlineStr"/>
      <c r="M327" s="10" t="inlineStr"/>
    </row>
    <row r="328">
      <c r="A328" s="10" t="n">
        <v>21</v>
      </c>
      <c r="B328" s="10" t="inlineStr">
        <is>
          <t>UPGRADE COACH -&gt; COACH+ CHARGES THE FULL $69.99  (CRITICAL)</t>
        </is>
      </c>
      <c r="C328" s="10" t="inlineStr">
        <is>
          <t>21.3</t>
        </is>
      </c>
      <c r="D328" s="10" t="inlineStr">
        <is>
          <t>Before</t>
        </is>
      </c>
      <c r="E328" s="10" t="inlineStr">
        <is>
          <t>BEFORE (old build)</t>
        </is>
      </c>
      <c r="F328" s="10" t="inlineStr">
        <is>
          <t>After paying: Stripe shows the old Coach subscription cancelled (superseded) and a new Coach+ one.</t>
        </is>
      </c>
      <c r="G328" s="10" t="inlineStr"/>
      <c r="H328" s="10" t="inlineStr"/>
      <c r="I328" s="10" t="inlineStr"/>
      <c r="J328" s="10" t="inlineStr"/>
      <c r="K328" s="10" t="inlineStr"/>
      <c r="L328" s="10" t="inlineStr"/>
      <c r="M328" s="10" t="inlineStr"/>
    </row>
    <row r="329">
      <c r="A329" s="10" t="n">
        <v>21</v>
      </c>
      <c r="B329" s="10" t="inlineStr">
        <is>
          <t>UPGRADE COACH -&gt; COACH+ CHARGES THE FULL $69.99  (CRITICAL)</t>
        </is>
      </c>
      <c r="C329" s="10" t="inlineStr">
        <is>
          <t>21.4</t>
        </is>
      </c>
      <c r="D329" s="10" t="inlineStr">
        <is>
          <t>After</t>
        </is>
      </c>
      <c r="E329" s="10" t="inlineStr">
        <is>
          <t>AFTER (expected)</t>
        </is>
      </c>
      <c r="F329" s="10" t="inlineStr">
        <is>
          <t>Same account: dialog says you only pay the difference for the time left on Coach, and the exact amount is shown in Stripe.</t>
        </is>
      </c>
      <c r="G329" s="10" t="inlineStr"/>
      <c r="H329" s="10" t="inlineStr"/>
      <c r="I329" s="10" t="inlineStr"/>
      <c r="J329" s="10" t="inlineStr"/>
      <c r="K329" s="10" t="inlineStr"/>
      <c r="L329" s="10" t="inlineStr"/>
      <c r="M329" s="10" t="inlineStr"/>
    </row>
    <row r="330">
      <c r="A330" s="10" t="n">
        <v>21</v>
      </c>
      <c r="B330" s="10" t="inlineStr">
        <is>
          <t>UPGRADE COACH -&gt; COACH+ CHARGES THE FULL $69.99  (CRITICAL)</t>
        </is>
      </c>
      <c r="C330" s="10" t="inlineStr">
        <is>
          <t>21.5</t>
        </is>
      </c>
      <c r="D330" s="10" t="inlineStr">
        <is>
          <t>After</t>
        </is>
      </c>
      <c r="E330" s="10" t="inlineStr">
        <is>
          <t>AFTER (expected)</t>
        </is>
      </c>
      <c r="F330" s="10" t="inlineStr">
        <is>
          <t>Continue opens the Stripe PORTAL (not Checkout) with the switch to Coach+ offered.</t>
        </is>
      </c>
      <c r="G330" s="10" t="inlineStr"/>
      <c r="H330" s="10" t="inlineStr"/>
      <c r="I330" s="10" t="inlineStr"/>
      <c r="J330" s="10" t="inlineStr"/>
      <c r="K330" s="10" t="inlineStr"/>
      <c r="L330" s="10" t="inlineStr"/>
      <c r="M330" s="10" t="inlineStr"/>
    </row>
    <row r="331">
      <c r="A331" s="10" t="n">
        <v>21</v>
      </c>
      <c r="B331" s="10" t="inlineStr">
        <is>
          <t>UPGRADE COACH -&gt; COACH+ CHARGES THE FULL $69.99  (CRITICAL)</t>
        </is>
      </c>
      <c r="C331" s="10" t="inlineStr">
        <is>
          <t>21.6</t>
        </is>
      </c>
      <c r="D331" s="10" t="inlineStr">
        <is>
          <t>After</t>
        </is>
      </c>
      <c r="E331" s="10" t="inlineStr">
        <is>
          <t>AFTER (expected)</t>
        </is>
      </c>
      <c r="F331" s="10" t="inlineStr">
        <is>
          <t>The portal shows the PRORATED amount (well below 69.99 unless the term just started), and confirming charges that amount only.</t>
        </is>
      </c>
      <c r="G331" s="10" t="inlineStr"/>
      <c r="H331" s="10" t="inlineStr"/>
      <c r="I331" s="10" t="inlineStr"/>
      <c r="J331" s="10" t="inlineStr"/>
      <c r="K331" s="10" t="inlineStr"/>
      <c r="L331" s="10" t="inlineStr"/>
      <c r="M331" s="10" t="inlineStr"/>
    </row>
    <row r="332">
      <c r="A332" s="10" t="n">
        <v>21</v>
      </c>
      <c r="B332" s="10" t="inlineStr">
        <is>
          <t>UPGRADE COACH -&gt; COACH+ CHARGES THE FULL $69.99  (CRITICAL)</t>
        </is>
      </c>
      <c r="C332" s="10" t="inlineStr">
        <is>
          <t>21.7</t>
        </is>
      </c>
      <c r="D332" s="10" t="inlineStr">
        <is>
          <t>After</t>
        </is>
      </c>
      <c r="E332" s="10" t="inlineStr">
        <is>
          <t>AFTER (expected)</t>
        </is>
      </c>
      <c r="F332" s="10" t="inlineStr">
        <is>
          <t>After confirming: the app shows Coach+ (pull to refresh / reopen Profile) and Coach+ limits/features unlock.</t>
        </is>
      </c>
      <c r="G332" s="10" t="inlineStr"/>
      <c r="H332" s="10" t="inlineStr"/>
      <c r="I332" s="10" t="inlineStr"/>
      <c r="J332" s="10" t="inlineStr"/>
      <c r="K332" s="10" t="inlineStr"/>
      <c r="L332" s="10" t="inlineStr"/>
      <c r="M332" s="10" t="inlineStr"/>
    </row>
    <row r="333">
      <c r="A333" s="10" t="n">
        <v>21</v>
      </c>
      <c r="B333" s="10" t="inlineStr">
        <is>
          <t>UPGRADE COACH -&gt; COACH+ CHARGES THE FULL $69.99  (CRITICAL)</t>
        </is>
      </c>
      <c r="C333" s="10" t="inlineStr">
        <is>
          <t>21.8</t>
        </is>
      </c>
      <c r="D333" s="10" t="inlineStr">
        <is>
          <t>After</t>
        </is>
      </c>
      <c r="E333" s="10" t="inlineStr">
        <is>
          <t>AFTER (expected)</t>
        </is>
      </c>
      <c r="F333" s="10" t="inlineStr">
        <is>
          <t>Stripe has ONE subscription for the customer (item swapped), not two. No leftover Coach subscription.</t>
        </is>
      </c>
      <c r="G333" s="10" t="inlineStr"/>
      <c r="H333" s="10" t="inlineStr"/>
      <c r="I333" s="10" t="inlineStr"/>
      <c r="J333" s="10" t="inlineStr"/>
      <c r="K333" s="10" t="inlineStr"/>
      <c r="L333" s="10" t="inlineStr"/>
      <c r="M333" s="10" t="inlineStr"/>
    </row>
    <row r="334">
      <c r="A334" s="10" t="n">
        <v>21</v>
      </c>
      <c r="B334" s="10" t="inlineStr">
        <is>
          <t>UPGRADE COACH -&gt; COACH+ CHARGES THE FULL $69.99  (CRITICAL)</t>
        </is>
      </c>
      <c r="C334" s="10" t="inlineStr">
        <is>
          <t>21.9</t>
        </is>
      </c>
      <c r="D334" s="10" t="inlineStr">
        <is>
          <t>After</t>
        </is>
      </c>
      <c r="E334" s="10" t="inlineStr">
        <is>
          <t>AFTER (expected)</t>
        </is>
      </c>
      <c r="F334" s="10" t="inlineStr">
        <is>
          <t>Try the upgrade twice in a row / tap Upgrade again after it finished: no second charge, no second subscription.</t>
        </is>
      </c>
      <c r="G334" s="10" t="inlineStr"/>
      <c r="H334" s="10" t="inlineStr"/>
      <c r="I334" s="10" t="inlineStr"/>
      <c r="J334" s="10" t="inlineStr"/>
      <c r="K334" s="10" t="inlineStr"/>
      <c r="L334" s="10" t="inlineStr"/>
      <c r="M334" s="10" t="inlineStr"/>
    </row>
    <row r="335">
      <c r="A335" s="10" t="n">
        <v>21</v>
      </c>
      <c r="B335" s="10" t="inlineStr">
        <is>
          <t>UPGRADE COACH -&gt; COACH+ CHARGES THE FULL $69.99  (CRITICAL)</t>
        </is>
      </c>
      <c r="C335" s="10" t="inlineStr">
        <is>
          <t>21.10</t>
        </is>
      </c>
      <c r="D335" s="10" t="inlineStr">
        <is>
          <t>After</t>
        </is>
      </c>
      <c r="E335" s="10" t="inlineStr">
        <is>
          <t>AFTER (expected)</t>
        </is>
      </c>
      <c r="F335" s="10" t="inlineStr">
        <is>
          <t>Plan card note under the button reads "You only pay the difference for the time left on your current plan."</t>
        </is>
      </c>
      <c r="G335" s="10" t="inlineStr"/>
      <c r="H335" s="10" t="inlineStr"/>
      <c r="I335" s="10" t="inlineStr"/>
      <c r="J335" s="10" t="inlineStr"/>
      <c r="K335" s="10" t="inlineStr"/>
      <c r="L335" s="10" t="inlineStr"/>
      <c r="M335" s="10" t="inlineStr"/>
    </row>
    <row r="336">
      <c r="A336" s="10" t="n">
        <v>21</v>
      </c>
      <c r="B336" s="10" t="inlineStr">
        <is>
          <t>UPGRADE COACH -&gt; COACH+ CHARGES THE FULL $69.99  (CRITICAL)</t>
        </is>
      </c>
      <c r="C336" s="10" t="inlineStr">
        <is>
          <t>21.11</t>
        </is>
      </c>
      <c r="D336" s="10" t="inlineStr">
        <is>
          <t>After</t>
        </is>
      </c>
      <c r="E336" s="10" t="inlineStr">
        <is>
          <t>AFTER (expected)</t>
        </is>
      </c>
      <c r="F336" s="10" t="inlineStr">
        <is>
          <t>Coach -&gt; Club and Coach+ -&gt; Club behave the same way.</t>
        </is>
      </c>
      <c r="G336" s="10" t="inlineStr"/>
      <c r="H336" s="10" t="inlineStr"/>
      <c r="I336" s="10" t="inlineStr"/>
      <c r="J336" s="10" t="inlineStr"/>
      <c r="K336" s="10" t="inlineStr"/>
      <c r="L336" s="10" t="inlineStr"/>
      <c r="M336" s="10" t="inlineStr"/>
    </row>
    <row r="337">
      <c r="A337" s="10" t="n">
        <v>21</v>
      </c>
      <c r="B337" s="10" t="inlineStr">
        <is>
          <t>UPGRADE COACH -&gt; COACH+ CHARGES THE FULL $69.99  (CRITICAL)</t>
        </is>
      </c>
      <c r="C337" s="10" t="inlineStr">
        <is>
          <t>21.12</t>
        </is>
      </c>
      <c r="D337" s="10" t="inlineStr">
        <is>
          <t>After</t>
        </is>
      </c>
      <c r="E337" s="10" t="inlineStr">
        <is>
          <t>AFTER (expected)</t>
        </is>
      </c>
      <c r="F337" s="10" t="inlineStr">
        <is>
          <t>Monthly vs yearly: upgrade from a monthly plan and from a yearly plan; the amount shown in Stripe is sensible.</t>
        </is>
      </c>
      <c r="G337" s="10" t="inlineStr"/>
      <c r="H337" s="10" t="inlineStr"/>
      <c r="I337" s="10" t="inlineStr"/>
      <c r="J337" s="10" t="inlineStr"/>
      <c r="K337" s="10" t="inlineStr"/>
      <c r="L337" s="10" t="inlineStr"/>
      <c r="M337" s="10" t="inlineStr"/>
    </row>
    <row r="338">
      <c r="A338" s="10" t="n">
        <v>21</v>
      </c>
      <c r="B338" s="10" t="inlineStr">
        <is>
          <t>UPGRADE COACH -&gt; COACH+ CHARGES THE FULL $69.99  (CRITICAL)</t>
        </is>
      </c>
      <c r="C338" s="10" t="inlineStr">
        <is>
          <t>21.13</t>
        </is>
      </c>
      <c r="D338" s="10" t="inlineStr">
        <is>
          <t>After</t>
        </is>
      </c>
      <c r="E338" s="10" t="inlineStr">
        <is>
          <t>AFTER (expected)</t>
        </is>
      </c>
      <c r="F338" s="10" t="inlineStr">
        <is>
          <t>Trialing account: upgrade goes through the portal too and does not charge more than Stripe shows.</t>
        </is>
      </c>
      <c r="G338" s="10" t="inlineStr"/>
      <c r="H338" s="10" t="inlineStr"/>
      <c r="I338" s="10" t="inlineStr"/>
      <c r="J338" s="10" t="inlineStr"/>
      <c r="K338" s="10" t="inlineStr"/>
      <c r="L338" s="10" t="inlineStr"/>
      <c r="M338" s="10" t="inlineStr"/>
    </row>
    <row r="339">
      <c r="A339" s="10" t="n">
        <v>21</v>
      </c>
      <c r="B339" s="10" t="inlineStr">
        <is>
          <t>UPGRADE COACH -&gt; COACH+ CHARGES THE FULL $69.99  (CRITICAL)</t>
        </is>
      </c>
      <c r="C339" s="10" t="inlineStr">
        <is>
          <t>21.14</t>
        </is>
      </c>
      <c r="D339" s="10" t="inlineStr">
        <is>
          <t>After</t>
        </is>
      </c>
      <c r="E339" s="10" t="inlineStr">
        <is>
          <t>AFTER (expected)</t>
        </is>
      </c>
      <c r="F339" s="10" t="inlineStr">
        <is>
          <t>Account with NO live subscription (Free, or cancelled/lapsed): Upgrade still opens ordinary Checkout at full price and works (regression).</t>
        </is>
      </c>
      <c r="G339" s="10" t="inlineStr"/>
      <c r="H339" s="10" t="inlineStr"/>
      <c r="I339" s="10" t="inlineStr"/>
      <c r="J339" s="10" t="inlineStr"/>
      <c r="K339" s="10" t="inlineStr"/>
      <c r="L339" s="10" t="inlineStr"/>
      <c r="M339" s="10" t="inlineStr"/>
    </row>
    <row r="340">
      <c r="A340" s="10" t="n">
        <v>21</v>
      </c>
      <c r="B340" s="10" t="inlineStr">
        <is>
          <t>UPGRADE COACH -&gt; COACH+ CHARGES THE FULL $69.99  (CRITICAL)</t>
        </is>
      </c>
      <c r="C340" s="10" t="inlineStr">
        <is>
          <t>21.15</t>
        </is>
      </c>
      <c r="D340" s="10" t="inlineStr">
        <is>
          <t>After</t>
        </is>
      </c>
      <c r="E340" s="10" t="inlineStr">
        <is>
          <t>AFTER (expected)</t>
        </is>
      </c>
      <c r="F340" s="10" t="inlineStr">
        <is>
          <t>Discount code / loyalty credit on a first purchase from Free still applies at Checkout (regression).</t>
        </is>
      </c>
      <c r="G340" s="10" t="inlineStr"/>
      <c r="H340" s="10" t="inlineStr"/>
      <c r="I340" s="10" t="inlineStr"/>
      <c r="J340" s="10" t="inlineStr"/>
      <c r="K340" s="10" t="inlineStr"/>
      <c r="L340" s="10" t="inlineStr"/>
      <c r="M340" s="10" t="inlineStr"/>
    </row>
    <row r="341">
      <c r="A341" s="10" t="n">
        <v>21</v>
      </c>
      <c r="B341" s="10" t="inlineStr">
        <is>
          <t>UPGRADE COACH -&gt; COACH+ CHARGES THE FULL $69.99  (CRITICAL)</t>
        </is>
      </c>
      <c r="C341" s="10" t="inlineStr">
        <is>
          <t>21.16</t>
        </is>
      </c>
      <c r="D341" s="10" t="inlineStr">
        <is>
          <t>After</t>
        </is>
      </c>
      <c r="E341" s="10" t="inlineStr">
        <is>
          <t>AFTER (expected)</t>
        </is>
      </c>
      <c r="F341" s="10" t="inlineStr">
        <is>
          <t>Cancel in the portal (close it without confirming): plan and charges unchanged; the app is unchanged.</t>
        </is>
      </c>
      <c r="G341" s="10" t="inlineStr"/>
      <c r="H341" s="10" t="inlineStr"/>
      <c r="I341" s="10" t="inlineStr"/>
      <c r="J341" s="10" t="inlineStr"/>
      <c r="K341" s="10" t="inlineStr"/>
      <c r="L341" s="10" t="inlineStr"/>
      <c r="M341" s="10" t="inlineStr"/>
    </row>
    <row r="342">
      <c r="A342" s="10" t="n">
        <v>21</v>
      </c>
      <c r="B342" s="10" t="inlineStr">
        <is>
          <t>UPGRADE COACH -&gt; COACH+ CHARGES THE FULL $69.99  (CRITICAL)</t>
        </is>
      </c>
      <c r="C342" s="10" t="inlineStr">
        <is>
          <t>21.17</t>
        </is>
      </c>
      <c r="D342" s="10" t="inlineStr">
        <is>
          <t>After</t>
        </is>
      </c>
      <c r="E342" s="10" t="inlineStr">
        <is>
          <t>AFTER (expected)</t>
        </is>
      </c>
      <c r="F342" s="10" t="inlineStr">
        <is>
          <t>Webhook: after the portal switch the account plan tier updates (customer.subscription.updated) and no duplicate "upgraded" emails or duplicate referral credit.</t>
        </is>
      </c>
      <c r="G342" s="10" t="inlineStr"/>
      <c r="H342" s="10" t="inlineStr"/>
      <c r="I342" s="10" t="inlineStr"/>
      <c r="J342" s="10" t="inlineStr"/>
      <c r="K342" s="10" t="inlineStr"/>
      <c r="L342" s="10" t="inlineStr"/>
      <c r="M342" s="10" t="inlineStr"/>
    </row>
    <row r="343">
      <c r="A343" s="10" t="n">
        <v>21</v>
      </c>
      <c r="B343" s="10" t="inlineStr">
        <is>
          <t>UPGRADE COACH -&gt; COACH+ CHARGES THE FULL $69.99  (CRITICAL)</t>
        </is>
      </c>
      <c r="C343" s="10" t="inlineStr">
        <is>
          <t>21.18</t>
        </is>
      </c>
      <c r="D343" s="10" t="inlineStr">
        <is>
          <t>After</t>
        </is>
      </c>
      <c r="E343" s="10" t="inlineStr">
        <is>
          <t>AFTER (expected)</t>
        </is>
      </c>
      <c r="F343" s="10" t="inlineStr">
        <is>
          <t>Add-on team licenses (Club) are untouched by an upgrade.</t>
        </is>
      </c>
      <c r="G343" s="10" t="inlineStr"/>
      <c r="H343" s="10" t="inlineStr"/>
      <c r="I343" s="10" t="inlineStr"/>
      <c r="J343" s="10" t="inlineStr"/>
      <c r="K343" s="10" t="inlineStr"/>
      <c r="L343" s="10" t="inlineStr"/>
      <c r="M343" s="10" t="inlineStr"/>
    </row>
    <row r="344">
      <c r="A344" s="10" t="n">
        <v>21</v>
      </c>
      <c r="B344" s="10" t="inlineStr">
        <is>
          <t>UPGRADE COACH -&gt; COACH+ CHARGES THE FULL $69.99  (CRITICAL)</t>
        </is>
      </c>
      <c r="C344" s="10" t="inlineStr">
        <is>
          <t>21.19</t>
        </is>
      </c>
      <c r="D344" s="10" t="inlineStr">
        <is>
          <t>After</t>
        </is>
      </c>
      <c r="E344" s="10" t="inlineStr">
        <is>
          <t>AFTER (expected)</t>
        </is>
      </c>
      <c r="F344" s="10" t="inlineStr">
        <is>
          <t>Referral / loyalty credit and payment history screens still show correct entries.</t>
        </is>
      </c>
      <c r="G344" s="10" t="inlineStr"/>
      <c r="H344" s="10" t="inlineStr"/>
      <c r="I344" s="10" t="inlineStr"/>
      <c r="J344" s="10" t="inlineStr"/>
      <c r="K344" s="10" t="inlineStr"/>
      <c r="L344" s="10" t="inlineStr"/>
      <c r="M344" s="10" t="inlineStr"/>
    </row>
    <row r="345">
      <c r="A345" s="10" t="n">
        <v>21</v>
      </c>
      <c r="B345" s="10" t="inlineStr">
        <is>
          <t>UPGRADE COACH -&gt; COACH+ CHARGES THE FULL $69.99  (CRITICAL)</t>
        </is>
      </c>
      <c r="C345" s="10" t="inlineStr">
        <is>
          <t>21.20</t>
        </is>
      </c>
      <c r="D345" s="10" t="inlineStr">
        <is>
          <t>After</t>
        </is>
      </c>
      <c r="E345" s="10" t="inlineStr">
        <is>
          <t>AFTER (expected)</t>
        </is>
      </c>
      <c r="F345" s="10" t="inlineStr">
        <is>
          <t>Coach+ -&gt; Coach: confirm dialog, then Stripe portal; the change is SCHEDULED for the end of the current term; nothing is charged or refunded today; the app keeps Coach+ until then.</t>
        </is>
      </c>
      <c r="G345" s="10" t="inlineStr"/>
      <c r="H345" s="10" t="inlineStr"/>
      <c r="I345" s="10" t="inlineStr"/>
      <c r="J345" s="10" t="inlineStr"/>
      <c r="K345" s="10" t="inlineStr"/>
      <c r="L345" s="10" t="inlineStr"/>
      <c r="M345" s="10" t="inlineStr"/>
    </row>
    <row r="346">
      <c r="A346" s="10" t="n">
        <v>21</v>
      </c>
      <c r="B346" s="10" t="inlineStr">
        <is>
          <t>UPGRADE COACH -&gt; COACH+ CHARGES THE FULL $69.99  (CRITICAL)</t>
        </is>
      </c>
      <c r="C346" s="10" t="inlineStr">
        <is>
          <t>21.21</t>
        </is>
      </c>
      <c r="D346" s="10" t="inlineStr">
        <is>
          <t>After</t>
        </is>
      </c>
      <c r="E346" s="10" t="inlineStr">
        <is>
          <t>AFTER (expected)</t>
        </is>
      </c>
      <c r="F346" s="10" t="inlineStr">
        <is>
          <t>The plan card note still reads "Takes effect when your current term ends. Nothing changes today."</t>
        </is>
      </c>
      <c r="G346" s="10" t="inlineStr"/>
      <c r="H346" s="10" t="inlineStr"/>
      <c r="I346" s="10" t="inlineStr"/>
      <c r="J346" s="10" t="inlineStr"/>
      <c r="K346" s="10" t="inlineStr"/>
      <c r="L346" s="10" t="inlineStr"/>
      <c r="M346" s="10" t="inlineStr"/>
    </row>
    <row r="347">
      <c r="A347" s="10" t="n">
        <v>21</v>
      </c>
      <c r="B347" s="10" t="inlineStr">
        <is>
          <t>UPGRADE COACH -&gt; COACH+ CHARGES THE FULL $69.99  (CRITICAL)</t>
        </is>
      </c>
      <c r="C347" s="10" t="inlineStr">
        <is>
          <t>21.22</t>
        </is>
      </c>
      <c r="D347" s="10" t="inlineStr">
        <is>
          <t>After</t>
        </is>
      </c>
      <c r="E347" s="10" t="inlineStr">
        <is>
          <t>AFTER (expected)</t>
        </is>
      </c>
      <c r="F347" s="10" t="inlineStr">
        <is>
          <t>Downgrade to Free: cancels at period end, features kept until then.</t>
        </is>
      </c>
      <c r="G347" s="10" t="inlineStr"/>
      <c r="H347" s="10" t="inlineStr"/>
      <c r="I347" s="10" t="inlineStr"/>
      <c r="J347" s="10" t="inlineStr"/>
      <c r="K347" s="10" t="inlineStr"/>
      <c r="L347" s="10" t="inlineStr"/>
      <c r="M347" s="10" t="inlineStr"/>
    </row>
    <row r="348">
      <c r="A348" s="10" t="n">
        <v>21</v>
      </c>
      <c r="B348" s="10" t="inlineStr">
        <is>
          <t>UPGRADE COACH -&gt; COACH+ CHARGES THE FULL $69.99  (CRITICAL)</t>
        </is>
      </c>
      <c r="C348" s="10" t="inlineStr">
        <is>
          <t>21.23</t>
        </is>
      </c>
      <c r="D348" s="10" t="inlineStr">
        <is>
          <t>After</t>
        </is>
      </c>
      <c r="E348" s="10" t="inlineStr">
        <is>
          <t>AFTER (expected)</t>
        </is>
      </c>
      <c r="F348" s="10" t="inlineStr">
        <is>
          <t>Pending downgrade shown in the app (pending plan change) still displays correctly.</t>
        </is>
      </c>
      <c r="G348" s="10" t="inlineStr"/>
      <c r="H348" s="10" t="inlineStr"/>
      <c r="I348" s="10" t="inlineStr"/>
      <c r="J348" s="10" t="inlineStr"/>
      <c r="K348" s="10" t="inlineStr"/>
      <c r="L348" s="10" t="inlineStr"/>
      <c r="M348" s="10" t="inlineStr"/>
    </row>
    <row r="349">
      <c r="A349" s="10" t="n">
        <v>21</v>
      </c>
      <c r="B349" s="10" t="inlineStr">
        <is>
          <t>UPGRADE COACH -&gt; COACH+ CHARGES THE FULL $69.99  (CRITICAL)</t>
        </is>
      </c>
      <c r="C349" s="10" t="inlineStr">
        <is>
          <t>21.24</t>
        </is>
      </c>
      <c r="D349" s="10" t="inlineStr">
        <is>
          <t>After</t>
        </is>
      </c>
      <c r="E349" s="10" t="inlineStr">
        <is>
          <t>AFTER (expected)</t>
        </is>
      </c>
      <c r="F349" s="10" t="inlineStr">
        <is>
          <t>Over-limit warnings in the downgrade dialog (teams, evaluations) still list correctly.</t>
        </is>
      </c>
      <c r="G349" s="10" t="inlineStr"/>
      <c r="H349" s="10" t="inlineStr"/>
      <c r="I349" s="10" t="inlineStr"/>
      <c r="J349" s="10" t="inlineStr"/>
      <c r="K349" s="10" t="inlineStr"/>
      <c r="L349" s="10" t="inlineStr"/>
      <c r="M349" s="10" t="inlineStr"/>
    </row>
    <row r="350">
      <c r="A350" s="10" t="n">
        <v>22</v>
      </c>
      <c r="B350" s="10" t="inlineStr">
        <is>
          <t>CREATE TEAM BUTTON HIDDEN BY THE PHONE MENU BUTTONS (Android)</t>
        </is>
      </c>
      <c r="C350" s="10" t="inlineStr">
        <is>
          <t>22.1</t>
        </is>
      </c>
      <c r="D350" s="10" t="inlineStr">
        <is>
          <t>General</t>
        </is>
      </c>
      <c r="E350" s="10" t="inlineStr"/>
      <c r="F350" s="10" t="inlineStr">
        <is>
          <t>Home &gt; Teams &gt; + New Team. Scroll to the very bottom. Expected (bug): "Create Team" sits under / touching the back-home-recents buttons.</t>
        </is>
      </c>
      <c r="G350" s="10" t="inlineStr"/>
      <c r="H350" s="10" t="inlineStr"/>
      <c r="I350" s="10" t="inlineStr"/>
      <c r="J350" s="10" t="inlineStr"/>
      <c r="K350" s="10" t="inlineStr"/>
      <c r="L350" s="10" t="inlineStr"/>
      <c r="M350" s="10" t="inlineStr"/>
    </row>
    <row r="351">
      <c r="A351" s="10" t="n">
        <v>22</v>
      </c>
      <c r="B351" s="10" t="inlineStr">
        <is>
          <t>CREATE TEAM BUTTON HIDDEN BY THE PHONE MENU BUTTONS (Android)</t>
        </is>
      </c>
      <c r="C351" s="10" t="inlineStr">
        <is>
          <t>22.2</t>
        </is>
      </c>
      <c r="D351" s="10" t="inlineStr">
        <is>
          <t>General</t>
        </is>
      </c>
      <c r="E351" s="10" t="inlineStr"/>
      <c r="F351" s="10" t="inlineStr">
        <is>
          <t>Try to tap the lower edge of Create Team.</t>
        </is>
      </c>
      <c r="G351" s="10" t="inlineStr"/>
      <c r="H351" s="10" t="inlineStr"/>
      <c r="I351" s="10" t="inlineStr"/>
      <c r="J351" s="10" t="inlineStr"/>
      <c r="K351" s="10" t="inlineStr"/>
      <c r="L351" s="10" t="inlineStr"/>
      <c r="M351" s="10" t="inlineStr"/>
    </row>
    <row r="352">
      <c r="A352" s="10" t="n">
        <v>22</v>
      </c>
      <c r="B352" s="10" t="inlineStr">
        <is>
          <t>CREATE TEAM BUTTON HIDDEN BY THE PHONE MENU BUTTONS (Android)</t>
        </is>
      </c>
      <c r="C352" s="10" t="inlineStr">
        <is>
          <t>22.3</t>
        </is>
      </c>
      <c r="D352" s="10" t="inlineStr">
        <is>
          <t>After</t>
        </is>
      </c>
      <c r="E352" s="10" t="inlineStr">
        <is>
          <t>AFTER (expected)</t>
        </is>
      </c>
      <c r="F352" s="10" t="inlineStr">
        <is>
          <t>3-button nav: Create Team fully visible with clear space below, fully tappable.</t>
        </is>
      </c>
      <c r="G352" s="10" t="inlineStr"/>
      <c r="H352" s="10" t="inlineStr"/>
      <c r="I352" s="10" t="inlineStr"/>
      <c r="J352" s="10" t="inlineStr"/>
      <c r="K352" s="10" t="inlineStr"/>
      <c r="L352" s="10" t="inlineStr"/>
      <c r="M352" s="10" t="inlineStr"/>
    </row>
    <row r="353">
      <c r="A353" s="10" t="n">
        <v>22</v>
      </c>
      <c r="B353" s="10" t="inlineStr">
        <is>
          <t>CREATE TEAM BUTTON HIDDEN BY THE PHONE MENU BUTTONS (Android)</t>
        </is>
      </c>
      <c r="C353" s="10" t="inlineStr">
        <is>
          <t>22.4</t>
        </is>
      </c>
      <c r="D353" s="10" t="inlineStr">
        <is>
          <t>After</t>
        </is>
      </c>
      <c r="E353" s="10" t="inlineStr">
        <is>
          <t>AFTER (expected)</t>
        </is>
      </c>
      <c r="F353" s="10" t="inlineStr">
        <is>
          <t>Gesture nav: no big empty band below the form.</t>
        </is>
      </c>
      <c r="G353" s="10" t="inlineStr"/>
      <c r="H353" s="10" t="inlineStr"/>
      <c r="I353" s="10" t="inlineStr"/>
      <c r="J353" s="10" t="inlineStr"/>
      <c r="K353" s="10" t="inlineStr"/>
      <c r="L353" s="10" t="inlineStr"/>
      <c r="M353" s="10" t="inlineStr"/>
    </row>
    <row r="354">
      <c r="A354" s="10" t="n">
        <v>22</v>
      </c>
      <c r="B354" s="10" t="inlineStr">
        <is>
          <t>CREATE TEAM BUTTON HIDDEN BY THE PHONE MENU BUTTONS (Android)</t>
        </is>
      </c>
      <c r="C354" s="10" t="inlineStr">
        <is>
          <t>22.5</t>
        </is>
      </c>
      <c r="D354" s="10" t="inlineStr">
        <is>
          <t>After</t>
        </is>
      </c>
      <c r="E354" s="10" t="inlineStr">
        <is>
          <t>AFTER (expected)</t>
        </is>
      </c>
      <c r="F354" s="10" t="inlineStr">
        <is>
          <t>Android 13/14: no extra blank space.</t>
        </is>
      </c>
      <c r="G354" s="10" t="inlineStr"/>
      <c r="H354" s="10" t="inlineStr"/>
      <c r="I354" s="10" t="inlineStr"/>
      <c r="J354" s="10" t="inlineStr"/>
      <c r="K354" s="10" t="inlineStr"/>
      <c r="L354" s="10" t="inlineStr"/>
      <c r="M354" s="10" t="inlineStr"/>
    </row>
    <row r="355">
      <c r="A355" s="10" t="n">
        <v>22</v>
      </c>
      <c r="B355" s="10" t="inlineStr">
        <is>
          <t>CREATE TEAM BUTTON HIDDEN BY THE PHONE MENU BUTTONS (Android)</t>
        </is>
      </c>
      <c r="C355" s="10" t="inlineStr">
        <is>
          <t>22.6</t>
        </is>
      </c>
      <c r="D355" s="10" t="inlineStr">
        <is>
          <t>After</t>
        </is>
      </c>
      <c r="E355" s="10" t="inlineStr">
        <is>
          <t>AFTER (expected)</t>
        </is>
      </c>
      <c r="F355" s="10" t="inlineStr">
        <is>
          <t>Keyboard open on Team Name / Email fields: the field being typed in stays visible, and Create Team is reachable.</t>
        </is>
      </c>
      <c r="G355" s="10" t="inlineStr"/>
      <c r="H355" s="10" t="inlineStr"/>
      <c r="I355" s="10" t="inlineStr"/>
      <c r="J355" s="10" t="inlineStr"/>
      <c r="K355" s="10" t="inlineStr"/>
      <c r="L355" s="10" t="inlineStr"/>
      <c r="M355" s="10" t="inlineStr"/>
    </row>
    <row r="356">
      <c r="A356" s="10" t="n">
        <v>22</v>
      </c>
      <c r="B356" s="10" t="inlineStr">
        <is>
          <t>CREATE TEAM BUTTON HIDDEN BY THE PHONE MENU BUTTONS (Android)</t>
        </is>
      </c>
      <c r="C356" s="10" t="inlineStr">
        <is>
          <t>22.7</t>
        </is>
      </c>
      <c r="D356" s="10" t="inlineStr">
        <is>
          <t>After</t>
        </is>
      </c>
      <c r="E356" s="10" t="inlineStr">
        <is>
          <t>AFTER (expected)</t>
        </is>
      </c>
      <c r="F356" s="10" t="inlineStr">
        <is>
          <t>Large font size 130-200%: Create Team still reachable.</t>
        </is>
      </c>
      <c r="G356" s="10" t="inlineStr"/>
      <c r="H356" s="10" t="inlineStr"/>
      <c r="I356" s="10" t="inlineStr"/>
      <c r="J356" s="10" t="inlineStr"/>
      <c r="K356" s="10" t="inlineStr"/>
      <c r="L356" s="10" t="inlineStr"/>
      <c r="M356" s="10" t="inlineStr"/>
    </row>
    <row r="357">
      <c r="A357" s="10" t="n">
        <v>22</v>
      </c>
      <c r="B357" s="10" t="inlineStr">
        <is>
          <t>CREATE TEAM BUTTON HIDDEN BY THE PHONE MENU BUTTONS (Android)</t>
        </is>
      </c>
      <c r="C357" s="10" t="inlineStr">
        <is>
          <t>22.8</t>
        </is>
      </c>
      <c r="D357" s="10" t="inlineStr">
        <is>
          <t>After</t>
        </is>
      </c>
      <c r="E357" s="10" t="inlineStr">
        <is>
          <t>AFTER (expected)</t>
        </is>
      </c>
      <c r="F357" s="10" t="inlineStr">
        <is>
          <t>Below Create Team, the Testing Tools card (Dummy Data) is also fully visible and tappable.</t>
        </is>
      </c>
      <c r="G357" s="10" t="inlineStr"/>
      <c r="H357" s="10" t="inlineStr"/>
      <c r="I357" s="10" t="inlineStr"/>
      <c r="J357" s="10" t="inlineStr"/>
      <c r="K357" s="10" t="inlineStr"/>
      <c r="L357" s="10" t="inlineStr"/>
      <c r="M357" s="10" t="inlineStr"/>
    </row>
    <row r="358">
      <c r="A358" s="10" t="n">
        <v>22</v>
      </c>
      <c r="B358" s="10" t="inlineStr">
        <is>
          <t>CREATE TEAM BUTTON HIDDEN BY THE PHONE MENU BUTTONS (Android)</t>
        </is>
      </c>
      <c r="C358" s="10" t="inlineStr">
        <is>
          <t>22.9</t>
        </is>
      </c>
      <c r="D358" s="10" t="inlineStr">
        <is>
          <t>After</t>
        </is>
      </c>
      <c r="E358" s="10" t="inlineStr">
        <is>
          <t>AFTER (expected)</t>
        </is>
      </c>
      <c r="F358" s="10" t="inlineStr">
        <is>
          <t>iPhone: form looks the same as before, no new gap.</t>
        </is>
      </c>
      <c r="G358" s="10" t="inlineStr">
        <is>
          <t>Yes</t>
        </is>
      </c>
      <c r="H358" s="10" t="inlineStr"/>
      <c r="I358" s="10" t="inlineStr"/>
      <c r="J358" s="10" t="inlineStr"/>
      <c r="K358" s="10" t="inlineStr"/>
      <c r="L358" s="10" t="inlineStr"/>
      <c r="M358" s="10" t="inlineStr"/>
    </row>
    <row r="359">
      <c r="A359" s="10" t="n">
        <v>22</v>
      </c>
      <c r="B359" s="10" t="inlineStr">
        <is>
          <t>CREATE TEAM BUTTON HIDDEN BY THE PHONE MENU BUTTONS (Android)</t>
        </is>
      </c>
      <c r="C359" s="10" t="inlineStr">
        <is>
          <t>22.10</t>
        </is>
      </c>
      <c r="D359" s="10" t="inlineStr">
        <is>
          <t>After</t>
        </is>
      </c>
      <c r="E359" s="10" t="inlineStr">
        <is>
          <t>AFTER (expected)</t>
        </is>
      </c>
      <c r="F359" s="10" t="inlineStr">
        <is>
          <t>Create a team with and without the "Invite a manager" email and with fees Yes/No: still creates and lands on the team's Options tab.</t>
        </is>
      </c>
      <c r="G359" s="10" t="inlineStr"/>
      <c r="H359" s="10" t="inlineStr"/>
      <c r="I359" s="10" t="inlineStr"/>
      <c r="J359" s="10" t="inlineStr"/>
      <c r="K359" s="10" t="inlineStr"/>
      <c r="L359" s="10" t="inlineStr"/>
      <c r="M359" s="10" t="inlineStr"/>
    </row>
    <row r="360">
      <c r="A360" s="10" t="n">
        <v>22</v>
      </c>
      <c r="B360" s="10" t="inlineStr">
        <is>
          <t>CREATE TEAM BUTTON HIDDEN BY THE PHONE MENU BUTTONS (Android)</t>
        </is>
      </c>
      <c r="C360" s="10" t="inlineStr">
        <is>
          <t>22.11</t>
        </is>
      </c>
      <c r="D360" s="10" t="inlineStr">
        <is>
          <t>After</t>
        </is>
      </c>
      <c r="E360" s="10" t="inlineStr">
        <is>
          <t>AFTER (expected)</t>
        </is>
      </c>
      <c r="F360" s="10" t="inlineStr">
        <is>
          <t>Other long forms end with their button visible (New Evaluation, Edit Profile, season settings).</t>
        </is>
      </c>
      <c r="G360" s="10" t="inlineStr"/>
      <c r="H360" s="10" t="inlineStr"/>
      <c r="I360" s="10" t="inlineStr"/>
      <c r="J360" s="10" t="inlineStr"/>
      <c r="K360" s="10" t="inlineStr"/>
      <c r="L360" s="10" t="inlineStr"/>
      <c r="M360" s="10" t="inlineStr"/>
    </row>
    <row r="361">
      <c r="A361" s="10" t="n">
        <v>22</v>
      </c>
      <c r="B361" s="10" t="inlineStr">
        <is>
          <t>CREATE TEAM BUTTON HIDDEN BY THE PHONE MENU BUTTONS (Android)</t>
        </is>
      </c>
      <c r="C361" s="10" t="inlineStr">
        <is>
          <t>22.12</t>
        </is>
      </c>
      <c r="D361" s="10" t="inlineStr">
        <is>
          <t>After</t>
        </is>
      </c>
      <c r="E361" s="10" t="inlineStr">
        <is>
          <t>AFTER (expected)</t>
        </is>
      </c>
      <c r="F361" s="10" t="inlineStr">
        <is>
          <t>Dark and light mode.</t>
        </is>
      </c>
      <c r="G361" s="10" t="inlineStr"/>
      <c r="H361" s="10" t="inlineStr"/>
      <c r="I361" s="10" t="inlineStr"/>
      <c r="J361" s="10" t="inlineStr"/>
      <c r="K361" s="10" t="inlineStr"/>
      <c r="L361" s="10" t="inlineStr"/>
      <c r="M361" s="10" t="inlineStr"/>
    </row>
    <row r="362">
      <c r="A362" s="10" t="n">
        <v>23</v>
      </c>
      <c r="B362" s="10" t="inlineStr">
        <is>
          <t>NEW TEAM MANAGER ON "COACH MODE" FOR THAT TEAM ONLY  (IMPLEMENTED)</t>
        </is>
      </c>
      <c r="C362" s="10" t="inlineStr">
        <is>
          <t>23.1</t>
        </is>
      </c>
      <c r="D362" s="10" t="inlineStr">
        <is>
          <t>Before</t>
        </is>
      </c>
      <c r="E362" s="10" t="inlineStr">
        <is>
          <t>BEFORE (old build)</t>
        </is>
      </c>
      <c r="F362" s="10" t="inlineStr">
        <is>
          <t>Owner invites X to the team. X logs in: sees Schedule / Players / Options but NO Evaluations tab.</t>
        </is>
      </c>
      <c r="G362" s="10" t="inlineStr"/>
      <c r="H362" s="10" t="inlineStr"/>
      <c r="I362" s="10" t="inlineStr"/>
      <c r="J362" s="10" t="inlineStr"/>
      <c r="K362" s="10" t="inlineStr"/>
      <c r="L362" s="10" t="inlineStr"/>
      <c r="M362" s="10" t="inlineStr"/>
    </row>
    <row r="363">
      <c r="A363" s="10" t="n">
        <v>23</v>
      </c>
      <c r="B363" s="10" t="inlineStr">
        <is>
          <t>NEW TEAM MANAGER ON "COACH MODE" FOR THAT TEAM ONLY  (IMPLEMENTED)</t>
        </is>
      </c>
      <c r="C363" s="10" t="inlineStr">
        <is>
          <t>23.2</t>
        </is>
      </c>
      <c r="D363" s="10" t="inlineStr">
        <is>
          <t>Before</t>
        </is>
      </c>
      <c r="E363" s="10" t="inlineStr">
        <is>
          <t>BEFORE (old build)</t>
        </is>
      </c>
      <c r="F363" s="10" t="inlineStr">
        <is>
          <t>X's own Profile plan is Free.</t>
        </is>
      </c>
      <c r="G363" s="10" t="inlineStr"/>
      <c r="H363" s="10" t="inlineStr"/>
      <c r="I363" s="10" t="inlineStr"/>
      <c r="J363" s="10" t="inlineStr"/>
      <c r="K363" s="10" t="inlineStr"/>
      <c r="L363" s="10" t="inlineStr"/>
      <c r="M363" s="10" t="inlineStr"/>
    </row>
    <row r="364">
      <c r="A364" s="10" t="n">
        <v>23</v>
      </c>
      <c r="B364" s="10" t="inlineStr">
        <is>
          <t>NEW TEAM MANAGER ON "COACH MODE" FOR THAT TEAM ONLY  (IMPLEMENTED)</t>
        </is>
      </c>
      <c r="C364" s="10" t="inlineStr">
        <is>
          <t>23.3</t>
        </is>
      </c>
      <c r="D364" s="10" t="inlineStr">
        <is>
          <t>After</t>
        </is>
      </c>
      <c r="E364" s="10" t="inlineStr">
        <is>
          <t>AFTER (expected)</t>
        </is>
      </c>
      <c r="F364" s="10" t="inlineStr">
        <is>
          <t>X sees the Evaluations tab on THAT team, with Create and Attach Existing.</t>
        </is>
      </c>
      <c r="G364" s="10" t="inlineStr"/>
      <c r="H364" s="10" t="inlineStr"/>
      <c r="I364" s="10" t="inlineStr"/>
      <c r="J364" s="10" t="inlineStr"/>
      <c r="K364" s="10" t="inlineStr"/>
      <c r="L364" s="10" t="inlineStr"/>
      <c r="M364" s="10" t="inlineStr"/>
    </row>
    <row r="365">
      <c r="A365" s="10" t="n">
        <v>23</v>
      </c>
      <c r="B365" s="10" t="inlineStr">
        <is>
          <t>NEW TEAM MANAGER ON "COACH MODE" FOR THAT TEAM ONLY  (IMPLEMENTED)</t>
        </is>
      </c>
      <c r="C365" s="10" t="inlineStr">
        <is>
          <t>23.4</t>
        </is>
      </c>
      <c r="D365" s="10" t="inlineStr">
        <is>
          <t>After</t>
        </is>
      </c>
      <c r="E365" s="10" t="inlineStr">
        <is>
          <t>AFTER (expected)</t>
        </is>
      </c>
      <c r="F365" s="10" t="inlineStr">
        <is>
          <t>X creates an evaluation from the team: the evaluation appears for X on the team tab AND for the owner (owner sees it on the team tab too).</t>
        </is>
      </c>
      <c r="G365" s="10" t="inlineStr"/>
      <c r="H365" s="10" t="inlineStr"/>
      <c r="I365" s="10" t="inlineStr"/>
      <c r="J365" s="10" t="inlineStr"/>
      <c r="K365" s="10" t="inlineStr"/>
      <c r="L365" s="10" t="inlineStr"/>
      <c r="M365" s="10" t="inlineStr"/>
    </row>
    <row r="366">
      <c r="A366" s="10" t="n">
        <v>23</v>
      </c>
      <c r="B366" s="10" t="inlineStr">
        <is>
          <t>NEW TEAM MANAGER ON "COACH MODE" FOR THAT TEAM ONLY  (IMPLEMENTED)</t>
        </is>
      </c>
      <c r="C366" s="10" t="inlineStr">
        <is>
          <t>23.5</t>
        </is>
      </c>
      <c r="D366" s="10" t="inlineStr">
        <is>
          <t>After</t>
        </is>
      </c>
      <c r="E366" s="10" t="inlineStr">
        <is>
          <t>AFTER (expected)</t>
        </is>
      </c>
      <c r="F366" s="10" t="inlineStr">
        <is>
          <t>X can score, add players, import, open registrations, run Team Builder and letters on that evaluation, with NO upgrade wall that the owner's plan would not show.</t>
        </is>
      </c>
      <c r="G366" s="10" t="inlineStr"/>
      <c r="H366" s="10" t="inlineStr"/>
      <c r="I366" s="10" t="inlineStr"/>
      <c r="J366" s="10" t="inlineStr"/>
      <c r="K366" s="10" t="inlineStr"/>
      <c r="L366" s="10" t="inlineStr"/>
      <c r="M366" s="10" t="inlineStr"/>
    </row>
    <row r="367">
      <c r="A367" s="10" t="n">
        <v>23</v>
      </c>
      <c r="B367" s="10" t="inlineStr">
        <is>
          <t>NEW TEAM MANAGER ON "COACH MODE" FOR THAT TEAM ONLY  (IMPLEMENTED)</t>
        </is>
      </c>
      <c r="C367" s="10" t="inlineStr">
        <is>
          <t>23.6</t>
        </is>
      </c>
      <c r="D367" s="10" t="inlineStr">
        <is>
          <t>After</t>
        </is>
      </c>
      <c r="E367" s="10" t="inlineStr">
        <is>
          <t>AFTER (expected)</t>
        </is>
      </c>
      <c r="F367" s="10" t="inlineStr">
        <is>
          <t>X's own Profile still says Free; X's own home list, own teams and own limits unchanged (X creating an evaluation with NO team still hits the Free limit).</t>
        </is>
      </c>
      <c r="G367" s="10" t="inlineStr"/>
      <c r="H367" s="10" t="inlineStr"/>
      <c r="I367" s="10" t="inlineStr"/>
      <c r="J367" s="10" t="inlineStr"/>
      <c r="K367" s="10" t="inlineStr"/>
      <c r="L367" s="10" t="inlineStr"/>
      <c r="M367" s="10" t="inlineStr"/>
    </row>
    <row r="368">
      <c r="A368" s="10" t="n">
        <v>23</v>
      </c>
      <c r="B368" s="10" t="inlineStr">
        <is>
          <t>NEW TEAM MANAGER ON "COACH MODE" FOR THAT TEAM ONLY  (IMPLEMENTED)</t>
        </is>
      </c>
      <c r="C368" s="10" t="inlineStr">
        <is>
          <t>23.7</t>
        </is>
      </c>
      <c r="D368" s="10" t="inlineStr">
        <is>
          <t>After</t>
        </is>
      </c>
      <c r="E368" s="10" t="inlineStr">
        <is>
          <t>AFTER (expected)</t>
        </is>
      </c>
      <c r="F368" s="10" t="inlineStr">
        <is>
          <t>X cannot see the owner's other teams, other evaluations, billing, organization members.</t>
        </is>
      </c>
      <c r="G368" s="10" t="inlineStr"/>
      <c r="H368" s="10" t="inlineStr"/>
      <c r="I368" s="10" t="inlineStr"/>
      <c r="J368" s="10" t="inlineStr"/>
      <c r="K368" s="10" t="inlineStr"/>
      <c r="L368" s="10" t="inlineStr"/>
      <c r="M368" s="10" t="inlineStr"/>
    </row>
    <row r="369">
      <c r="A369" s="10" t="n">
        <v>23</v>
      </c>
      <c r="B369" s="10" t="inlineStr">
        <is>
          <t>NEW TEAM MANAGER ON "COACH MODE" FOR THAT TEAM ONLY  (IMPLEMENTED)</t>
        </is>
      </c>
      <c r="C369" s="10" t="inlineStr">
        <is>
          <t>23.8</t>
        </is>
      </c>
      <c r="D369" s="10" t="inlineStr">
        <is>
          <t>After</t>
        </is>
      </c>
      <c r="E369" s="10" t="inlineStr">
        <is>
          <t>AFTER (expected)</t>
        </is>
      </c>
      <c r="F369" s="10" t="inlineStr">
        <is>
          <t>Removing X from the team: Evaluations tab and the team's evaluations disappear for X.</t>
        </is>
      </c>
      <c r="G369" s="10" t="inlineStr"/>
      <c r="H369" s="10" t="inlineStr"/>
      <c r="I369" s="10" t="inlineStr"/>
      <c r="J369" s="10" t="inlineStr"/>
      <c r="K369" s="10" t="inlineStr"/>
      <c r="L369" s="10" t="inlineStr"/>
      <c r="M369" s="10" t="inlineStr"/>
    </row>
    <row r="370">
      <c r="A370" s="10" t="n">
        <v>23</v>
      </c>
      <c r="B370" s="10" t="inlineStr">
        <is>
          <t>NEW TEAM MANAGER ON "COACH MODE" FOR THAT TEAM ONLY  (IMPLEMENTED)</t>
        </is>
      </c>
      <c r="C370" s="10" t="inlineStr">
        <is>
          <t>23.9</t>
        </is>
      </c>
      <c r="D370" s="10" t="inlineStr">
        <is>
          <t>After</t>
        </is>
      </c>
      <c r="E370" s="10" t="inlineStr">
        <is>
          <t>AFTER (expected)</t>
        </is>
      </c>
      <c r="F370" s="10" t="inlineStr">
        <is>
          <t>Existing managers (invited before this change) also see the Evaluations tab now.</t>
        </is>
      </c>
      <c r="G370" s="10" t="inlineStr"/>
      <c r="H370" s="10" t="inlineStr"/>
      <c r="I370" s="10" t="inlineStr"/>
      <c r="J370" s="10" t="inlineStr"/>
      <c r="K370" s="10" t="inlineStr"/>
      <c r="L370" s="10" t="inlineStr"/>
      <c r="M370" s="10" t="inlineStr"/>
    </row>
    <row r="371">
      <c r="A371" s="10" t="n">
        <v>23</v>
      </c>
      <c r="B371" s="10" t="inlineStr">
        <is>
          <t>NEW TEAM MANAGER ON "COACH MODE" FOR THAT TEAM ONLY  (IMPLEMENTED)</t>
        </is>
      </c>
      <c r="C371" s="10" t="inlineStr">
        <is>
          <t>23.10</t>
        </is>
      </c>
      <c r="D371" s="10" t="inlineStr">
        <is>
          <t>After</t>
        </is>
      </c>
      <c r="E371" s="10" t="inlineStr">
        <is>
          <t>AFTER (expected)</t>
        </is>
      </c>
      <c r="F371" s="10" t="inlineStr">
        <is>
          <t>Owner on a Free/Coach plan whose limits are lower: the manager is limited by the OWNER's plan for that team's evaluations.</t>
        </is>
      </c>
      <c r="G371" s="10" t="inlineStr"/>
      <c r="H371" s="10" t="inlineStr"/>
      <c r="I371" s="10" t="inlineStr"/>
      <c r="J371" s="10" t="inlineStr"/>
      <c r="K371" s="10" t="inlineStr"/>
      <c r="L371" s="10" t="inlineStr"/>
      <c r="M371" s="10" t="inlineStr"/>
    </row>
    <row r="372">
      <c r="A372" s="10" t="n">
        <v>23</v>
      </c>
      <c r="B372" s="10" t="inlineStr">
        <is>
          <t>NEW TEAM MANAGER ON "COACH MODE" FOR THAT TEAM ONLY  (IMPLEMENTED)</t>
        </is>
      </c>
      <c r="C372" s="10" t="inlineStr">
        <is>
          <t>23.11</t>
        </is>
      </c>
      <c r="D372" s="10" t="inlineStr">
        <is>
          <t>After</t>
        </is>
      </c>
      <c r="E372" s="10" t="inlineStr">
        <is>
          <t>AFTER (expected)</t>
        </is>
      </c>
      <c r="F372" s="10" t="inlineStr">
        <is>
          <t>Owner's evaluation/player counts and limits behave as before.</t>
        </is>
      </c>
      <c r="G372" s="10" t="inlineStr"/>
      <c r="H372" s="10" t="inlineStr"/>
      <c r="I372" s="10" t="inlineStr"/>
      <c r="J372" s="10" t="inlineStr"/>
      <c r="K372" s="10" t="inlineStr"/>
      <c r="L372" s="10" t="inlineStr"/>
      <c r="M372" s="10" t="inlineStr"/>
    </row>
    <row r="373">
      <c r="A373" s="10" t="n">
        <v>23</v>
      </c>
      <c r="B373" s="10" t="inlineStr">
        <is>
          <t>NEW TEAM MANAGER ON "COACH MODE" FOR THAT TEAM ONLY  (IMPLEMENTED)</t>
        </is>
      </c>
      <c r="C373" s="10" t="inlineStr">
        <is>
          <t>23.12</t>
        </is>
      </c>
      <c r="D373" s="10" t="inlineStr">
        <is>
          <t>After</t>
        </is>
      </c>
      <c r="E373" s="10" t="inlineStr">
        <is>
          <t>AFTER (expected)</t>
        </is>
      </c>
      <c r="F373" s="10" t="inlineStr">
        <is>
          <t>Manager tries to create a second team / delete the team: still not allowed (Danger Zone hidden for managed teams).</t>
        </is>
      </c>
      <c r="G373" s="10" t="inlineStr"/>
      <c r="H373" s="10" t="inlineStr"/>
      <c r="I373" s="10" t="inlineStr"/>
      <c r="J373" s="10" t="inlineStr"/>
      <c r="K373" s="10" t="inlineStr"/>
      <c r="L373" s="10" t="inlineStr"/>
      <c r="M373" s="10" t="inlineStr"/>
    </row>
    <row r="374">
      <c r="A374" s="10" t="n">
        <v>23</v>
      </c>
      <c r="B374" s="10" t="inlineStr">
        <is>
          <t>NEW TEAM MANAGER ON "COACH MODE" FOR THAT TEAM ONLY  (IMPLEMENTED)</t>
        </is>
      </c>
      <c r="C374" s="10" t="inlineStr">
        <is>
          <t>23.13</t>
        </is>
      </c>
      <c r="D374" s="10" t="inlineStr">
        <is>
          <t>After</t>
        </is>
      </c>
      <c r="E374" s="10" t="inlineStr">
        <is>
          <t>AFTER (expected)</t>
        </is>
      </c>
      <c r="F374" s="10" t="inlineStr">
        <is>
          <t>A manager of two teams from two owners: each team uses its own owner's plan.</t>
        </is>
      </c>
      <c r="G374" s="10" t="inlineStr"/>
      <c r="H374" s="10" t="inlineStr"/>
      <c r="I374" s="10" t="inlineStr"/>
      <c r="J374" s="10" t="inlineStr"/>
      <c r="K374" s="10" t="inlineStr"/>
      <c r="L374" s="10" t="inlineStr"/>
      <c r="M374" s="10" t="inlineStr"/>
    </row>
    <row r="375">
      <c r="A375" s="10" t="n">
        <v>23</v>
      </c>
      <c r="B375" s="10" t="inlineStr">
        <is>
          <t>NEW TEAM MANAGER ON "COACH MODE" FOR THAT TEAM ONLY  (IMPLEMENTED)</t>
        </is>
      </c>
      <c r="C375" s="10" t="inlineStr">
        <is>
          <t>23.14</t>
        </is>
      </c>
      <c r="D375" s="10" t="inlineStr">
        <is>
          <t>After</t>
        </is>
      </c>
      <c r="E375" s="10" t="inlineStr">
        <is>
          <t>AFTER (expected)</t>
        </is>
      </c>
      <c r="F375" s="10" t="inlineStr">
        <is>
          <t>Team Managers card wording reads "...and can create and run its evaluations - but nothing else on your account."</t>
        </is>
      </c>
      <c r="G375" s="10" t="inlineStr"/>
      <c r="H375" s="10" t="inlineStr"/>
      <c r="I375" s="10" t="inlineStr"/>
      <c r="J375" s="10" t="inlineStr"/>
      <c r="K375" s="10" t="inlineStr"/>
      <c r="L375" s="10" t="inlineStr"/>
      <c r="M375" s="10" t="inlineStr"/>
    </row>
    <row r="376">
      <c r="A376" s="10" t="n">
        <v>23</v>
      </c>
      <c r="B376" s="10" t="inlineStr">
        <is>
          <t>NEW TEAM MANAGER ON "COACH MODE" FOR THAT TEAM ONLY  (IMPLEMENTED)</t>
        </is>
      </c>
      <c r="C376" s="10" t="inlineStr">
        <is>
          <t>23.15</t>
        </is>
      </c>
      <c r="D376" s="10" t="inlineStr">
        <is>
          <t>After</t>
        </is>
      </c>
      <c r="E376" s="10" t="inlineStr">
        <is>
          <t>AFTER (expected)</t>
        </is>
      </c>
      <c r="F376" s="10" t="inlineStr">
        <is>
          <t>Server rules (RLS): X cannot read/write evaluations of a team they do not manage (try by id).</t>
        </is>
      </c>
      <c r="G376" s="10" t="inlineStr"/>
      <c r="H376" s="10" t="inlineStr"/>
      <c r="I376" s="10" t="inlineStr"/>
      <c r="J376" s="10" t="inlineStr"/>
      <c r="K376" s="10" t="inlineStr"/>
      <c r="L376" s="10" t="inlineStr"/>
      <c r="M376" s="10" t="inlineStr"/>
    </row>
    <row r="377">
      <c r="A377" s="10" t="n">
        <v>24</v>
      </c>
      <c r="B377" s="10" t="inlineStr">
        <is>
          <t>REGRESSION CHECKLIST FOR ADDENDUM 3</t>
        </is>
      </c>
      <c r="C377" s="10" t="inlineStr">
        <is>
          <t>24.1</t>
        </is>
      </c>
      <c r="D377" s="10" t="inlineStr">
        <is>
          <t>Regression</t>
        </is>
      </c>
      <c r="E377" s="10" t="inlineStr"/>
      <c r="F377" s="10" t="inlineStr">
        <is>
          <t>Upgrade screen: plan cards, current plan badge, billing interval toggle, referral/credit switch, Manage Subscription.</t>
        </is>
      </c>
      <c r="G377" s="10" t="inlineStr"/>
      <c r="H377" s="10" t="inlineStr"/>
      <c r="I377" s="10" t="inlineStr"/>
      <c r="J377" s="10" t="inlineStr"/>
      <c r="K377" s="10" t="inlineStr"/>
      <c r="L377" s="10" t="inlineStr"/>
      <c r="M377" s="10" t="inlineStr"/>
    </row>
    <row r="378">
      <c r="A378" s="10" t="n">
        <v>24</v>
      </c>
      <c r="B378" s="10" t="inlineStr">
        <is>
          <t>REGRESSION CHECKLIST FOR ADDENDUM 3</t>
        </is>
      </c>
      <c r="C378" s="10" t="inlineStr">
        <is>
          <t>24.2</t>
        </is>
      </c>
      <c r="D378" s="10" t="inlineStr">
        <is>
          <t>Regression</t>
        </is>
      </c>
      <c r="E378" s="10" t="inlineStr"/>
      <c r="F378" s="10" t="inlineStr">
        <is>
          <t>Payment Dashboard and Stripe Connect screens unaffected.</t>
        </is>
      </c>
      <c r="G378" s="10" t="inlineStr"/>
      <c r="H378" s="10" t="inlineStr"/>
      <c r="I378" s="10" t="inlineStr"/>
      <c r="J378" s="10" t="inlineStr"/>
      <c r="K378" s="10" t="inlineStr"/>
      <c r="L378" s="10" t="inlineStr"/>
      <c r="M378" s="10" t="inlineStr"/>
    </row>
    <row r="379">
      <c r="A379" s="10" t="n">
        <v>24</v>
      </c>
      <c r="B379" s="10" t="inlineStr">
        <is>
          <t>REGRESSION CHECKLIST FOR ADDENDUM 3</t>
        </is>
      </c>
      <c r="C379" s="10" t="inlineStr">
        <is>
          <t>24.3</t>
        </is>
      </c>
      <c r="D379" s="10" t="inlineStr">
        <is>
          <t>Regression</t>
        </is>
      </c>
      <c r="E379" s="10" t="inlineStr"/>
      <c r="F379" s="10" t="inlineStr">
        <is>
          <t>Buy extra team licenses (Club) still works.</t>
        </is>
      </c>
      <c r="G379" s="10" t="inlineStr"/>
      <c r="H379" s="10" t="inlineStr"/>
      <c r="I379" s="10" t="inlineStr"/>
      <c r="J379" s="10" t="inlineStr"/>
      <c r="K379" s="10" t="inlineStr"/>
      <c r="L379" s="10" t="inlineStr"/>
      <c r="M379" s="10" t="inlineStr"/>
    </row>
    <row r="380">
      <c r="A380" s="10" t="n">
        <v>24</v>
      </c>
      <c r="B380" s="10" t="inlineStr">
        <is>
          <t>REGRESSION CHECKLIST FOR ADDENDUM 3</t>
        </is>
      </c>
      <c r="C380" s="10" t="inlineStr">
        <is>
          <t>24.4</t>
        </is>
      </c>
      <c r="D380" s="10" t="inlineStr">
        <is>
          <t>Regression</t>
        </is>
      </c>
      <c r="E380" s="10" t="inlineStr"/>
      <c r="F380" s="10" t="inlineStr">
        <is>
          <t>Plan gates (Free / Coach / Coach+ / Club) show/hide features the same as before after an upgrade completes.</t>
        </is>
      </c>
      <c r="G380" s="10" t="inlineStr"/>
      <c r="H380" s="10" t="inlineStr"/>
      <c r="I380" s="10" t="inlineStr"/>
      <c r="J380" s="10" t="inlineStr"/>
      <c r="K380" s="10" t="inlineStr"/>
      <c r="L380" s="10" t="inlineStr"/>
      <c r="M380" s="10" t="inlineStr"/>
    </row>
    <row r="381">
      <c r="A381" s="10" t="n">
        <v>24</v>
      </c>
      <c r="B381" s="10" t="inlineStr">
        <is>
          <t>REGRESSION CHECKLIST FOR ADDENDUM 3</t>
        </is>
      </c>
      <c r="C381" s="10" t="inlineStr">
        <is>
          <t>24.5</t>
        </is>
      </c>
      <c r="D381" s="10" t="inlineStr">
        <is>
          <t>Regression</t>
        </is>
      </c>
      <c r="E381" s="10" t="inlineStr"/>
      <c r="F381" s="10" t="inlineStr">
        <is>
          <t>Log Out / Delete Account (Profile) still fully visible on Android after the shared padding change.</t>
        </is>
      </c>
      <c r="G381" s="10" t="inlineStr"/>
      <c r="H381" s="10" t="inlineStr"/>
      <c r="I381" s="10" t="inlineStr"/>
      <c r="J381" s="10" t="inlineStr"/>
      <c r="K381" s="10" t="inlineStr"/>
      <c r="L381" s="10" t="inlineStr"/>
      <c r="M381" s="10" t="inlineStr"/>
    </row>
    <row r="382">
      <c r="A382" s="10" t="n">
        <v>24</v>
      </c>
      <c r="B382" s="10" t="inlineStr">
        <is>
          <t>REGRESSION CHECKLIST FOR ADDENDUM 3</t>
        </is>
      </c>
      <c r="C382" s="10" t="inlineStr">
        <is>
          <t>24.6</t>
        </is>
      </c>
      <c r="D382" s="10" t="inlineStr">
        <is>
          <t>Regression</t>
        </is>
      </c>
      <c r="E382" s="10" t="inlineStr"/>
      <c r="F382" s="10" t="inlineStr">
        <is>
          <t>Screens inside the bottom tab bar (evaluation tabs): no extra gap above the tab bar.</t>
        </is>
      </c>
      <c r="G382" s="10" t="inlineStr"/>
      <c r="H382" s="10" t="inlineStr"/>
      <c r="I382" s="10" t="inlineStr"/>
      <c r="J382" s="10" t="inlineStr"/>
      <c r="K382" s="10" t="inlineStr"/>
      <c r="L382" s="10" t="inlineStr"/>
      <c r="M382" s="10" t="inlineStr"/>
    </row>
    <row r="383">
      <c r="A383" s="10" t="n">
        <v>24</v>
      </c>
      <c r="B383" s="10" t="inlineStr">
        <is>
          <t>REGRESSION CHECKLIST FOR ADDENDUM 3</t>
        </is>
      </c>
      <c r="C383" s="10" t="inlineStr">
        <is>
          <t>24.7</t>
        </is>
      </c>
      <c r="D383" s="10" t="inlineStr">
        <is>
          <t>Regression</t>
        </is>
      </c>
      <c r="E383" s="10" t="inlineStr"/>
      <c r="F383" s="10" t="inlineStr">
        <is>
          <t>No new red screens / warnings on cold start.</t>
        </is>
      </c>
      <c r="G383" s="10" t="inlineStr"/>
      <c r="H383" s="10" t="inlineStr"/>
      <c r="I383" s="10" t="inlineStr"/>
      <c r="J383" s="10" t="inlineStr"/>
      <c r="K383" s="10" t="inlineStr"/>
      <c r="L383" s="10" t="inlineStr"/>
      <c r="M383" s="10" t="inlineStr"/>
    </row>
    <row r="384">
      <c r="A384" s="10" t="n">
        <v>25</v>
      </c>
      <c r="B384" s="10" t="inlineStr">
        <is>
          <t>SIGN UP, LOGIN, ONBOARDING</t>
        </is>
      </c>
      <c r="C384" s="10" t="inlineStr">
        <is>
          <t>25.1</t>
        </is>
      </c>
      <c r="D384" s="10" t="inlineStr">
        <is>
          <t>Feature</t>
        </is>
      </c>
      <c r="E384" s="10" t="inlineStr"/>
      <c r="F384" s="10" t="inlineStr">
        <is>
          <t>Sign up with a new email: verification email arrives, link works, account created.</t>
        </is>
      </c>
      <c r="G384" s="10" t="inlineStr"/>
      <c r="H384" s="10" t="inlineStr"/>
      <c r="I384" s="10" t="inlineStr"/>
      <c r="J384" s="10" t="inlineStr"/>
      <c r="K384" s="10" t="inlineStr"/>
      <c r="L384" s="10" t="inlineStr"/>
      <c r="M384" s="10" t="inlineStr"/>
    </row>
    <row r="385">
      <c r="A385" s="10" t="n">
        <v>25</v>
      </c>
      <c r="B385" s="10" t="inlineStr">
        <is>
          <t>SIGN UP, LOGIN, ONBOARDING</t>
        </is>
      </c>
      <c r="C385" s="10" t="inlineStr">
        <is>
          <t>25.2</t>
        </is>
      </c>
      <c r="D385" s="10" t="inlineStr">
        <is>
          <t>Feature</t>
        </is>
      </c>
      <c r="E385" s="10" t="inlineStr"/>
      <c r="F385" s="10" t="inlineStr">
        <is>
          <t>Sign up with an email that already exists: clear error.</t>
        </is>
      </c>
      <c r="G385" s="10" t="inlineStr"/>
      <c r="H385" s="10" t="inlineStr"/>
      <c r="I385" s="10" t="inlineStr"/>
      <c r="J385" s="10" t="inlineStr"/>
      <c r="K385" s="10" t="inlineStr"/>
      <c r="L385" s="10" t="inlineStr"/>
      <c r="M385" s="10" t="inlineStr"/>
    </row>
    <row r="386">
      <c r="A386" s="10" t="n">
        <v>25</v>
      </c>
      <c r="B386" s="10" t="inlineStr">
        <is>
          <t>SIGN UP, LOGIN, ONBOARDING</t>
        </is>
      </c>
      <c r="C386" s="10" t="inlineStr">
        <is>
          <t>25.3</t>
        </is>
      </c>
      <c r="D386" s="10" t="inlineStr">
        <is>
          <t>Feature</t>
        </is>
      </c>
      <c r="E386" s="10" t="inlineStr"/>
      <c r="F386" s="10" t="inlineStr">
        <is>
          <t>Weak password / mismatched confirm / invalid email: inline errors.</t>
        </is>
      </c>
      <c r="G386" s="10" t="inlineStr"/>
      <c r="H386" s="10" t="inlineStr"/>
      <c r="I386" s="10" t="inlineStr"/>
      <c r="J386" s="10" t="inlineStr"/>
      <c r="K386" s="10" t="inlineStr"/>
      <c r="L386" s="10" t="inlineStr"/>
      <c r="M386" s="10" t="inlineStr"/>
    </row>
    <row r="387">
      <c r="A387" s="10" t="n">
        <v>25</v>
      </c>
      <c r="B387" s="10" t="inlineStr">
        <is>
          <t>SIGN UP, LOGIN, ONBOARDING</t>
        </is>
      </c>
      <c r="C387" s="10" t="inlineStr">
        <is>
          <t>25.4</t>
        </is>
      </c>
      <c r="D387" s="10" t="inlineStr">
        <is>
          <t>Feature</t>
        </is>
      </c>
      <c r="E387" s="10" t="inlineStr"/>
      <c r="F387" s="10" t="inlineStr">
        <is>
          <t>Login with correct + wrong password: wrong shows a clear error and does not lock the form.</t>
        </is>
      </c>
      <c r="G387" s="10" t="inlineStr"/>
      <c r="H387" s="10" t="inlineStr"/>
      <c r="I387" s="10" t="inlineStr"/>
      <c r="J387" s="10" t="inlineStr"/>
      <c r="K387" s="10" t="inlineStr"/>
      <c r="L387" s="10" t="inlineStr"/>
      <c r="M387" s="10" t="inlineStr"/>
    </row>
    <row r="388">
      <c r="A388" s="10" t="n">
        <v>25</v>
      </c>
      <c r="B388" s="10" t="inlineStr">
        <is>
          <t>SIGN UP, LOGIN, ONBOARDING</t>
        </is>
      </c>
      <c r="C388" s="10" t="inlineStr">
        <is>
          <t>25.5</t>
        </is>
      </c>
      <c r="D388" s="10" t="inlineStr">
        <is>
          <t>Feature</t>
        </is>
      </c>
      <c r="E388" s="10" t="inlineStr"/>
      <c r="F388" s="10" t="inlineStr">
        <is>
          <t>Forgot password: email arrives, reset link opens the app/web, new password works, old one does not.</t>
        </is>
      </c>
      <c r="G388" s="10" t="inlineStr"/>
      <c r="H388" s="10" t="inlineStr"/>
      <c r="I388" s="10" t="inlineStr"/>
      <c r="J388" s="10" t="inlineStr"/>
      <c r="K388" s="10" t="inlineStr"/>
      <c r="L388" s="10" t="inlineStr"/>
      <c r="M388" s="10" t="inlineStr"/>
    </row>
    <row r="389">
      <c r="A389" s="10" t="n">
        <v>25</v>
      </c>
      <c r="B389" s="10" t="inlineStr">
        <is>
          <t>SIGN UP, LOGIN, ONBOARDING</t>
        </is>
      </c>
      <c r="C389" s="10" t="inlineStr">
        <is>
          <t>25.6</t>
        </is>
      </c>
      <c r="D389" s="10" t="inlineStr">
        <is>
          <t>Feature</t>
        </is>
      </c>
      <c r="E389" s="10" t="inlineStr"/>
      <c r="F389" s="10" t="inlineStr">
        <is>
          <t>Login persists across app restart; Log Out returns to login and clears the previous account's data (no stale lists).</t>
        </is>
      </c>
      <c r="G389" s="10" t="inlineStr"/>
      <c r="H389" s="10" t="inlineStr"/>
      <c r="I389" s="10" t="inlineStr"/>
      <c r="J389" s="10" t="inlineStr"/>
      <c r="K389" s="10" t="inlineStr"/>
      <c r="L389" s="10" t="inlineStr"/>
      <c r="M389" s="10" t="inlineStr"/>
    </row>
    <row r="390">
      <c r="A390" s="10" t="n">
        <v>25</v>
      </c>
      <c r="B390" s="10" t="inlineStr">
        <is>
          <t>SIGN UP, LOGIN, ONBOARDING</t>
        </is>
      </c>
      <c r="C390" s="10" t="inlineStr">
        <is>
          <t>25.7</t>
        </is>
      </c>
      <c r="D390" s="10" t="inlineStr">
        <is>
          <t>Feature</t>
        </is>
      </c>
      <c r="E390" s="10" t="inlineStr"/>
      <c r="F390" s="10" t="inlineStr">
        <is>
          <t>Token expiry / offline start: app recovers without a red screen.</t>
        </is>
      </c>
      <c r="G390" s="10" t="inlineStr"/>
      <c r="H390" s="10" t="inlineStr"/>
      <c r="I390" s="10" t="inlineStr"/>
      <c r="J390" s="10" t="inlineStr"/>
      <c r="K390" s="10" t="inlineStr"/>
      <c r="L390" s="10" t="inlineStr"/>
      <c r="M390" s="10" t="inlineStr"/>
    </row>
    <row r="391">
      <c r="A391" s="10" t="n">
        <v>25</v>
      </c>
      <c r="B391" s="10" t="inlineStr">
        <is>
          <t>SIGN UP, LOGIN, ONBOARDING</t>
        </is>
      </c>
      <c r="C391" s="10" t="inlineStr">
        <is>
          <t>25.8</t>
        </is>
      </c>
      <c r="D391" s="10" t="inlineStr">
        <is>
          <t>Feature</t>
        </is>
      </c>
      <c r="E391" s="10" t="inlineStr"/>
      <c r="F391" s="10" t="inlineStr">
        <is>
          <t>Onboarding wizard (welcome + wizard): completes, can be skipped, does not reappear afterwards.</t>
        </is>
      </c>
      <c r="G391" s="10" t="inlineStr"/>
      <c r="H391" s="10" t="inlineStr"/>
      <c r="I391" s="10" t="inlineStr"/>
      <c r="J391" s="10" t="inlineStr"/>
      <c r="K391" s="10" t="inlineStr"/>
      <c r="L391" s="10" t="inlineStr"/>
      <c r="M391" s="10" t="inlineStr"/>
    </row>
    <row r="392">
      <c r="A392" s="10" t="n">
        <v>25</v>
      </c>
      <c r="B392" s="10" t="inlineStr">
        <is>
          <t>SIGN UP, LOGIN, ONBOARDING</t>
        </is>
      </c>
      <c r="C392" s="10" t="inlineStr">
        <is>
          <t>25.9</t>
        </is>
      </c>
      <c r="D392" s="10" t="inlineStr">
        <is>
          <t>Feature</t>
        </is>
      </c>
      <c r="E392" s="10" t="inlineStr"/>
      <c r="F392" s="10" t="inlineStr">
        <is>
          <t>Coach vs guardian account type lands on the right home.</t>
        </is>
      </c>
      <c r="G392" s="10" t="inlineStr"/>
      <c r="H392" s="10" t="inlineStr"/>
      <c r="I392" s="10" t="inlineStr"/>
      <c r="J392" s="10" t="inlineStr"/>
      <c r="K392" s="10" t="inlineStr"/>
      <c r="L392" s="10" t="inlineStr"/>
      <c r="M392" s="10" t="inlineStr"/>
    </row>
    <row r="393">
      <c r="A393" s="10" t="n">
        <v>25</v>
      </c>
      <c r="B393" s="10" t="inlineStr">
        <is>
          <t>SIGN UP, LOGIN, ONBOARDING</t>
        </is>
      </c>
      <c r="C393" s="10" t="inlineStr">
        <is>
          <t>25.10</t>
        </is>
      </c>
      <c r="D393" s="10" t="inlineStr">
        <is>
          <t>Feature</t>
        </is>
      </c>
      <c r="E393" s="10" t="inlineStr"/>
      <c r="F393" s="10" t="inlineStr">
        <is>
          <t>Deep links: invite link, assessor invite, RSVP link, registration link open the right screen (logged in and logged out).</t>
        </is>
      </c>
      <c r="G393" s="10" t="inlineStr"/>
      <c r="H393" s="10" t="inlineStr"/>
      <c r="I393" s="10" t="inlineStr"/>
      <c r="J393" s="10" t="inlineStr"/>
      <c r="K393" s="10" t="inlineStr"/>
      <c r="L393" s="10" t="inlineStr"/>
      <c r="M393" s="10" t="inlineStr"/>
    </row>
    <row r="394">
      <c r="A394" s="10" t="n">
        <v>25</v>
      </c>
      <c r="B394" s="10" t="inlineStr">
        <is>
          <t>SIGN UP, LOGIN, ONBOARDING</t>
        </is>
      </c>
      <c r="C394" s="10" t="inlineStr">
        <is>
          <t>25.11</t>
        </is>
      </c>
      <c r="D394" s="10" t="inlineStr">
        <is>
          <t>Feature</t>
        </is>
      </c>
      <c r="E394" s="10" t="inlineStr"/>
      <c r="F394" s="10" t="inlineStr">
        <is>
          <t>Two accounts on one device: switching accounts shows no data from the first.</t>
        </is>
      </c>
      <c r="G394" s="10" t="inlineStr"/>
      <c r="H394" s="10" t="inlineStr"/>
      <c r="I394" s="10" t="inlineStr"/>
      <c r="J394" s="10" t="inlineStr"/>
      <c r="K394" s="10" t="inlineStr"/>
      <c r="L394" s="10" t="inlineStr"/>
      <c r="M394" s="10" t="inlineStr"/>
    </row>
    <row r="395">
      <c r="A395" s="10" t="n">
        <v>26</v>
      </c>
      <c r="B395" s="10" t="inlineStr">
        <is>
          <t>HOME / DASHBOARD</t>
        </is>
      </c>
      <c r="C395" s="10" t="inlineStr">
        <is>
          <t>26.1</t>
        </is>
      </c>
      <c r="D395" s="10" t="inlineStr">
        <is>
          <t>Feature</t>
        </is>
      </c>
      <c r="E395" s="10" t="inlineStr"/>
      <c r="F395" s="10" t="inlineStr">
        <is>
          <t>Home shows greeting, Dashboard card, Evaluations and Teams jump tiles with correct counts.</t>
        </is>
      </c>
      <c r="G395" s="10" t="inlineStr"/>
      <c r="H395" s="10" t="inlineStr"/>
      <c r="I395" s="10" t="inlineStr"/>
      <c r="J395" s="10" t="inlineStr"/>
      <c r="K395" s="10" t="inlineStr"/>
      <c r="L395" s="10" t="inlineStr"/>
      <c r="M395" s="10" t="inlineStr"/>
    </row>
    <row r="396">
      <c r="A396" s="10" t="n">
        <v>26</v>
      </c>
      <c r="B396" s="10" t="inlineStr">
        <is>
          <t>HOME / DASHBOARD</t>
        </is>
      </c>
      <c r="C396" s="10" t="inlineStr">
        <is>
          <t>26.2</t>
        </is>
      </c>
      <c r="D396" s="10" t="inlineStr">
        <is>
          <t>Feature</t>
        </is>
      </c>
      <c r="E396" s="10" t="inlineStr"/>
      <c r="F396" s="10" t="inlineStr">
        <is>
          <t>Evaluations tab: standalone evaluations only (team-linked ones are on their team). Empty state text when none.</t>
        </is>
      </c>
      <c r="G396" s="10" t="inlineStr"/>
      <c r="H396" s="10" t="inlineStr"/>
      <c r="I396" s="10" t="inlineStr"/>
      <c r="J396" s="10" t="inlineStr"/>
      <c r="K396" s="10" t="inlineStr"/>
      <c r="L396" s="10" t="inlineStr"/>
      <c r="M396" s="10" t="inlineStr"/>
    </row>
    <row r="397">
      <c r="A397" s="10" t="n">
        <v>26</v>
      </c>
      <c r="B397" s="10" t="inlineStr">
        <is>
          <t>HOME / DASHBOARD</t>
        </is>
      </c>
      <c r="C397" s="10" t="inlineStr">
        <is>
          <t>26.3</t>
        </is>
      </c>
      <c r="D397" s="10" t="inlineStr">
        <is>
          <t>Feature</t>
        </is>
      </c>
      <c r="E397" s="10" t="inlineStr"/>
      <c r="F397" s="10" t="inlineStr">
        <is>
          <t>Teams tab: every team the user owns or manages; "Managed" badge on delegated ones; delegated teams have no trash icon.</t>
        </is>
      </c>
      <c r="G397" s="10" t="inlineStr"/>
      <c r="H397" s="10" t="inlineStr"/>
      <c r="I397" s="10" t="inlineStr"/>
      <c r="J397" s="10" t="inlineStr"/>
      <c r="K397" s="10" t="inlineStr"/>
      <c r="L397" s="10" t="inlineStr"/>
      <c r="M397" s="10" t="inlineStr"/>
    </row>
    <row r="398">
      <c r="A398" s="10" t="n">
        <v>26</v>
      </c>
      <c r="B398" s="10" t="inlineStr">
        <is>
          <t>HOME / DASHBOARD</t>
        </is>
      </c>
      <c r="C398" s="10" t="inlineStr">
        <is>
          <t>26.4</t>
        </is>
      </c>
      <c r="D398" s="10" t="inlineStr">
        <is>
          <t>Feature</t>
        </is>
      </c>
      <c r="E398" s="10" t="inlineStr"/>
      <c r="F398" s="10" t="inlineStr">
        <is>
          <t>New Evaluation / New Team buttons: plan limit message when at the limit (Free: 1 evaluation, 1 team).</t>
        </is>
      </c>
      <c r="G398" s="10" t="inlineStr"/>
      <c r="H398" s="10" t="inlineStr"/>
      <c r="I398" s="10" t="inlineStr"/>
      <c r="J398" s="10" t="inlineStr"/>
      <c r="K398" s="10" t="inlineStr"/>
      <c r="L398" s="10" t="inlineStr"/>
      <c r="M398" s="10" t="inlineStr"/>
    </row>
    <row r="399">
      <c r="A399" s="10" t="n">
        <v>26</v>
      </c>
      <c r="B399" s="10" t="inlineStr">
        <is>
          <t>HOME / DASHBOARD</t>
        </is>
      </c>
      <c r="C399" s="10" t="inlineStr">
        <is>
          <t>26.5</t>
        </is>
      </c>
      <c r="D399" s="10" t="inlineStr">
        <is>
          <t>Feature</t>
        </is>
      </c>
      <c r="E399" s="10" t="inlineStr"/>
      <c r="F399" s="10" t="inlineStr">
        <is>
          <t>Pencil edit, trash delete (confirm + cancel), tap to open.</t>
        </is>
      </c>
      <c r="G399" s="10" t="inlineStr"/>
      <c r="H399" s="10" t="inlineStr"/>
      <c r="I399" s="10" t="inlineStr"/>
      <c r="J399" s="10" t="inlineStr"/>
      <c r="K399" s="10" t="inlineStr"/>
      <c r="L399" s="10" t="inlineStr"/>
      <c r="M399" s="10" t="inlineStr"/>
    </row>
    <row r="400">
      <c r="A400" s="10" t="n">
        <v>26</v>
      </c>
      <c r="B400" s="10" t="inlineStr">
        <is>
          <t>HOME / DASHBOARD</t>
        </is>
      </c>
      <c r="C400" s="10" t="inlineStr">
        <is>
          <t>26.6</t>
        </is>
      </c>
      <c r="D400" s="10" t="inlineStr">
        <is>
          <t>Feature</t>
        </is>
      </c>
      <c r="E400" s="10" t="inlineStr"/>
      <c r="F400" s="10" t="inlineStr">
        <is>
          <t>Combine Mode: pick 2+ evaluations, combined results open.</t>
        </is>
      </c>
      <c r="G400" s="10" t="inlineStr"/>
      <c r="H400" s="10" t="inlineStr"/>
      <c r="I400" s="10" t="inlineStr"/>
      <c r="J400" s="10" t="inlineStr"/>
      <c r="K400" s="10" t="inlineStr"/>
      <c r="L400" s="10" t="inlineStr"/>
      <c r="M400" s="10" t="inlineStr"/>
    </row>
    <row r="401">
      <c r="A401" s="10" t="n">
        <v>26</v>
      </c>
      <c r="B401" s="10" t="inlineStr">
        <is>
          <t>HOME / DASHBOARD</t>
        </is>
      </c>
      <c r="C401" s="10" t="inlineStr">
        <is>
          <t>26.7</t>
        </is>
      </c>
      <c r="D401" s="10" t="inlineStr">
        <is>
          <t>Feature</t>
        </is>
      </c>
      <c r="E401" s="10" t="inlineStr"/>
      <c r="F401" s="10" t="inlineStr">
        <is>
          <t>Archived toggle lists archived evaluations; restore works.</t>
        </is>
      </c>
      <c r="G401" s="10" t="inlineStr"/>
      <c r="H401" s="10" t="inlineStr"/>
      <c r="I401" s="10" t="inlineStr"/>
      <c r="J401" s="10" t="inlineStr"/>
      <c r="K401" s="10" t="inlineStr"/>
      <c r="L401" s="10" t="inlineStr"/>
      <c r="M401" s="10" t="inlineStr"/>
    </row>
    <row r="402">
      <c r="A402" s="10" t="n">
        <v>26</v>
      </c>
      <c r="B402" s="10" t="inlineStr">
        <is>
          <t>HOME / DASHBOARD</t>
        </is>
      </c>
      <c r="C402" s="10" t="inlineStr">
        <is>
          <t>26.8</t>
        </is>
      </c>
      <c r="D402" s="10" t="inlineStr">
        <is>
          <t>Feature</t>
        </is>
      </c>
      <c r="E402" s="10" t="inlineStr"/>
      <c r="F402" s="10" t="inlineStr">
        <is>
          <t>"Assigned to me" section: accept / decline an assessor invite; status updates; opening scores as assessor.</t>
        </is>
      </c>
      <c r="G402" s="10" t="inlineStr"/>
      <c r="H402" s="10" t="inlineStr"/>
      <c r="I402" s="10" t="inlineStr"/>
      <c r="J402" s="10" t="inlineStr"/>
      <c r="K402" s="10" t="inlineStr"/>
      <c r="L402" s="10" t="inlineStr"/>
      <c r="M402" s="10" t="inlineStr"/>
    </row>
    <row r="403">
      <c r="A403" s="10" t="n">
        <v>26</v>
      </c>
      <c r="B403" s="10" t="inlineStr">
        <is>
          <t>HOME / DASHBOARD</t>
        </is>
      </c>
      <c r="C403" s="10" t="inlineStr">
        <is>
          <t>26.9</t>
        </is>
      </c>
      <c r="D403" s="10" t="inlineStr">
        <is>
          <t>Feature</t>
        </is>
      </c>
      <c r="E403" s="10" t="inlineStr"/>
      <c r="F403" s="10" t="inlineStr">
        <is>
          <t>"My Athletes" section for a guardian: cards, seasons, links.</t>
        </is>
      </c>
      <c r="G403" s="10" t="inlineStr"/>
      <c r="H403" s="10" t="inlineStr"/>
      <c r="I403" s="10" t="inlineStr"/>
      <c r="J403" s="10" t="inlineStr"/>
      <c r="K403" s="10" t="inlineStr"/>
      <c r="L403" s="10" t="inlineStr"/>
      <c r="M403" s="10" t="inlineStr"/>
    </row>
    <row r="404">
      <c r="A404" s="10" t="n">
        <v>26</v>
      </c>
      <c r="B404" s="10" t="inlineStr">
        <is>
          <t>HOME / DASHBOARD</t>
        </is>
      </c>
      <c r="C404" s="10" t="inlineStr">
        <is>
          <t>26.10</t>
        </is>
      </c>
      <c r="D404" s="10" t="inlineStr">
        <is>
          <t>Feature</t>
        </is>
      </c>
      <c r="E404" s="10" t="inlineStr"/>
      <c r="F404" s="10" t="inlineStr">
        <is>
          <t>Usage banner (near/at plan limit) shows correct numbers and an upgrade link.</t>
        </is>
      </c>
      <c r="G404" s="10" t="inlineStr"/>
      <c r="H404" s="10" t="inlineStr"/>
      <c r="I404" s="10" t="inlineStr"/>
      <c r="J404" s="10" t="inlineStr"/>
      <c r="K404" s="10" t="inlineStr"/>
      <c r="L404" s="10" t="inlineStr"/>
      <c r="M404" s="10" t="inlineStr"/>
    </row>
    <row r="405">
      <c r="A405" s="10" t="n">
        <v>26</v>
      </c>
      <c r="B405" s="10" t="inlineStr">
        <is>
          <t>HOME / DASHBOARD</t>
        </is>
      </c>
      <c r="C405" s="10" t="inlineStr">
        <is>
          <t>26.11</t>
        </is>
      </c>
      <c r="D405" s="10" t="inlineStr">
        <is>
          <t>Feature</t>
        </is>
      </c>
      <c r="E405" s="10" t="inlineStr"/>
      <c r="F405" s="10" t="inlineStr">
        <is>
          <t>Bottom nav: Evaluations / Teams / Profile switch without losing scroll; badge/unread indicators correct.</t>
        </is>
      </c>
      <c r="G405" s="10" t="inlineStr"/>
      <c r="H405" s="10" t="inlineStr"/>
      <c r="I405" s="10" t="inlineStr"/>
      <c r="J405" s="10" t="inlineStr"/>
      <c r="K405" s="10" t="inlineStr"/>
      <c r="L405" s="10" t="inlineStr"/>
      <c r="M405" s="10" t="inlineStr"/>
    </row>
    <row r="406">
      <c r="A406" s="10" t="n">
        <v>26</v>
      </c>
      <c r="B406" s="10" t="inlineStr">
        <is>
          <t>HOME / DASHBOARD</t>
        </is>
      </c>
      <c r="C406" s="10" t="inlineStr">
        <is>
          <t>26.12</t>
        </is>
      </c>
      <c r="D406" s="10" t="inlineStr">
        <is>
          <t>Feature</t>
        </is>
      </c>
      <c r="E406" s="10" t="inlineStr"/>
      <c r="F406" s="10" t="inlineStr">
        <is>
          <t>Pull-to-refresh updates lists; loading + error + retry states.</t>
        </is>
      </c>
      <c r="G406" s="10" t="inlineStr"/>
      <c r="H406" s="10" t="inlineStr"/>
      <c r="I406" s="10" t="inlineStr"/>
      <c r="J406" s="10" t="inlineStr"/>
      <c r="K406" s="10" t="inlineStr"/>
      <c r="L406" s="10" t="inlineStr"/>
      <c r="M406" s="10" t="inlineStr"/>
    </row>
    <row r="407">
      <c r="A407" s="10" t="n">
        <v>26</v>
      </c>
      <c r="B407" s="10" t="inlineStr">
        <is>
          <t>HOME / DASHBOARD</t>
        </is>
      </c>
      <c r="C407" s="10" t="inlineStr">
        <is>
          <t>26.13</t>
        </is>
      </c>
      <c r="D407" s="10" t="inlineStr">
        <is>
          <t>Feature</t>
        </is>
      </c>
      <c r="E407" s="10" t="inlineStr"/>
      <c r="F407" s="10" t="inlineStr">
        <is>
          <t>Search button opens Search (see 46). Avatar opens Profile.</t>
        </is>
      </c>
      <c r="G407" s="10" t="inlineStr"/>
      <c r="H407" s="10" t="inlineStr"/>
      <c r="I407" s="10" t="inlineStr"/>
      <c r="J407" s="10" t="inlineStr"/>
      <c r="K407" s="10" t="inlineStr"/>
      <c r="L407" s="10" t="inlineStr"/>
      <c r="M407" s="10" t="inlineStr"/>
    </row>
    <row r="408">
      <c r="A408" s="10" t="n">
        <v>27</v>
      </c>
      <c r="B408" s="10" t="inlineStr">
        <is>
          <t>EVALUATION: CREATE, EDIT, COPY, ARCHIVE, DELETE</t>
        </is>
      </c>
      <c r="C408" s="10" t="inlineStr">
        <is>
          <t>27.1</t>
        </is>
      </c>
      <c r="D408" s="10" t="inlineStr">
        <is>
          <t>Feature</t>
        </is>
      </c>
      <c r="E408" s="10" t="inlineStr"/>
      <c r="F408" s="10" t="inlineStr">
        <is>
          <t>Required fields: name (2+ chars) and at least one rubric; clear errors; nothing is created on error.</t>
        </is>
      </c>
      <c r="G408" s="10" t="inlineStr"/>
      <c r="H408" s="10" t="inlineStr"/>
      <c r="I408" s="10" t="inlineStr"/>
      <c r="J408" s="10" t="inlineStr"/>
      <c r="K408" s="10" t="inlineStr"/>
      <c r="L408" s="10" t="inlineStr"/>
      <c r="M408" s="10" t="inlineStr"/>
    </row>
    <row r="409">
      <c r="A409" s="10" t="n">
        <v>27</v>
      </c>
      <c r="B409" s="10" t="inlineStr">
        <is>
          <t>EVALUATION: CREATE, EDIT, COPY, ARCHIVE, DELETE</t>
        </is>
      </c>
      <c r="C409" s="10" t="inlineStr">
        <is>
          <t>27.2</t>
        </is>
      </c>
      <c r="D409" s="10" t="inlineStr">
        <is>
          <t>Feature</t>
        </is>
      </c>
      <c r="E409" s="10" t="inlineStr"/>
      <c r="F409" s="10" t="inlineStr">
        <is>
          <t>Sport chips (Hockey, Volleyball, other + custom name), event type chips (Tryout, Assessment, ...) saved and shown on tile.</t>
        </is>
      </c>
      <c r="G409" s="10" t="inlineStr"/>
      <c r="H409" s="10" t="inlineStr"/>
      <c r="I409" s="10" t="inlineStr"/>
      <c r="J409" s="10" t="inlineStr"/>
      <c r="K409" s="10" t="inlineStr"/>
      <c r="L409" s="10" t="inlineStr"/>
      <c r="M409" s="10" t="inlineStr"/>
    </row>
    <row r="410">
      <c r="A410" s="10" t="n">
        <v>27</v>
      </c>
      <c r="B410" s="10" t="inlineStr">
        <is>
          <t>EVALUATION: CREATE, EDIT, COPY, ARCHIVE, DELETE</t>
        </is>
      </c>
      <c r="C410" s="10" t="inlineStr">
        <is>
          <t>27.3</t>
        </is>
      </c>
      <c r="D410" s="10" t="inlineStr">
        <is>
          <t>Feature</t>
        </is>
      </c>
      <c r="E410" s="10" t="inlineStr"/>
      <c r="F410" s="10" t="inlineStr">
        <is>
          <t>Date + start/end time pickers: values saved; end time must be after start; past dates handled as designed.</t>
        </is>
      </c>
      <c r="G410" s="10" t="inlineStr"/>
      <c r="H410" s="10" t="inlineStr"/>
      <c r="I410" s="10" t="inlineStr"/>
      <c r="J410" s="10" t="inlineStr"/>
      <c r="K410" s="10" t="inlineStr"/>
      <c r="L410" s="10" t="inlineStr"/>
      <c r="M410" s="10" t="inlineStr"/>
    </row>
    <row r="411">
      <c r="A411" s="10" t="n">
        <v>27</v>
      </c>
      <c r="B411" s="10" t="inlineStr">
        <is>
          <t>EVALUATION: CREATE, EDIT, COPY, ARCHIVE, DELETE</t>
        </is>
      </c>
      <c r="C411" s="10" t="inlineStr">
        <is>
          <t>27.4</t>
        </is>
      </c>
      <c r="D411" s="10" t="inlineStr">
        <is>
          <t>Feature</t>
        </is>
      </c>
      <c r="E411" s="10" t="inlineStr"/>
      <c r="F411" s="10" t="inlineStr">
        <is>
          <t>Location text saved; "Preview on map" hint appears for an address; tapping opens maps.</t>
        </is>
      </c>
      <c r="G411" s="10" t="inlineStr"/>
      <c r="H411" s="10" t="inlineStr"/>
      <c r="I411" s="10" t="inlineStr"/>
      <c r="J411" s="10" t="inlineStr"/>
      <c r="K411" s="10" t="inlineStr"/>
      <c r="L411" s="10" t="inlineStr"/>
      <c r="M411" s="10" t="inlineStr"/>
    </row>
    <row r="412">
      <c r="A412" s="10" t="n">
        <v>27</v>
      </c>
      <c r="B412" s="10" t="inlineStr">
        <is>
          <t>EVALUATION: CREATE, EDIT, COPY, ARCHIVE, DELETE</t>
        </is>
      </c>
      <c r="C412" s="10" t="inlineStr">
        <is>
          <t>27.5</t>
        </is>
      </c>
      <c r="D412" s="10" t="inlineStr">
        <is>
          <t>Feature</t>
        </is>
      </c>
      <c r="E412" s="10" t="inlineStr"/>
      <c r="F412" s="10" t="inlineStr">
        <is>
          <t>Optional Team chip: created evaluation lands on that team, copies the team's players, big team shows "Still setting up...".</t>
        </is>
      </c>
      <c r="G412" s="10" t="inlineStr"/>
      <c r="H412" s="10" t="inlineStr"/>
      <c r="I412" s="10" t="inlineStr"/>
      <c r="J412" s="10" t="inlineStr"/>
      <c r="K412" s="10" t="inlineStr"/>
      <c r="L412" s="10" t="inlineStr"/>
      <c r="M412" s="10" t="inlineStr"/>
    </row>
    <row r="413">
      <c r="A413" s="10" t="n">
        <v>27</v>
      </c>
      <c r="B413" s="10" t="inlineStr">
        <is>
          <t>EVALUATION: CREATE, EDIT, COPY, ARCHIVE, DELETE</t>
        </is>
      </c>
      <c r="C413" s="10" t="inlineStr">
        <is>
          <t>27.6</t>
        </is>
      </c>
      <c r="D413" s="10" t="inlineStr">
        <is>
          <t>Feature</t>
        </is>
      </c>
      <c r="E413" s="10" t="inlineStr"/>
      <c r="F413" s="10" t="inlineStr">
        <is>
          <t>Add rubrics (default set per sport, add/remove/reorder/weights) and assessors (name + email) before creating.</t>
        </is>
      </c>
      <c r="G413" s="10" t="inlineStr"/>
      <c r="H413" s="10" t="inlineStr"/>
      <c r="I413" s="10" t="inlineStr"/>
      <c r="J413" s="10" t="inlineStr"/>
      <c r="K413" s="10" t="inlineStr"/>
      <c r="L413" s="10" t="inlineStr"/>
      <c r="M413" s="10" t="inlineStr"/>
    </row>
    <row r="414">
      <c r="A414" s="10" t="n">
        <v>27</v>
      </c>
      <c r="B414" s="10" t="inlineStr">
        <is>
          <t>EVALUATION: CREATE, EDIT, COPY, ARCHIVE, DELETE</t>
        </is>
      </c>
      <c r="C414" s="10" t="inlineStr">
        <is>
          <t>27.7</t>
        </is>
      </c>
      <c r="D414" s="10" t="inlineStr">
        <is>
          <t>Feature</t>
        </is>
      </c>
      <c r="E414" s="10" t="inlineStr"/>
      <c r="F414" s="10" t="inlineStr">
        <is>
          <t>Free plan: creating a 2nd evaluation shows the limit message.</t>
        </is>
      </c>
      <c r="G414" s="10" t="inlineStr"/>
      <c r="H414" s="10" t="inlineStr"/>
      <c r="I414" s="10" t="inlineStr"/>
      <c r="J414" s="10" t="inlineStr"/>
      <c r="K414" s="10" t="inlineStr"/>
      <c r="L414" s="10" t="inlineStr"/>
      <c r="M414" s="10" t="inlineStr"/>
    </row>
    <row r="415">
      <c r="A415" s="10" t="n">
        <v>27</v>
      </c>
      <c r="B415" s="10" t="inlineStr">
        <is>
          <t>EVALUATION: CREATE, EDIT, COPY, ARCHIVE, DELETE</t>
        </is>
      </c>
      <c r="C415" s="10" t="inlineStr">
        <is>
          <t>27.8</t>
        </is>
      </c>
      <c r="D415" s="10" t="inlineStr">
        <is>
          <t>Feature</t>
        </is>
      </c>
      <c r="E415" s="10" t="inlineStr"/>
      <c r="F415" s="10" t="inlineStr">
        <is>
          <t>Keyboard never hides the field being typed in; Create button reachable on Android + iPhone.</t>
        </is>
      </c>
      <c r="G415" s="10" t="inlineStr"/>
      <c r="H415" s="10" t="inlineStr"/>
      <c r="I415" s="10" t="inlineStr"/>
      <c r="J415" s="10" t="inlineStr"/>
      <c r="K415" s="10" t="inlineStr"/>
      <c r="L415" s="10" t="inlineStr"/>
      <c r="M415" s="10" t="inlineStr"/>
    </row>
    <row r="416">
      <c r="A416" s="10" t="n">
        <v>27</v>
      </c>
      <c r="B416" s="10" t="inlineStr">
        <is>
          <t>EVALUATION: CREATE, EDIT, COPY, ARCHIVE, DELETE</t>
        </is>
      </c>
      <c r="C416" s="10" t="inlineStr">
        <is>
          <t>27.9</t>
        </is>
      </c>
      <c r="D416" s="10" t="inlineStr">
        <is>
          <t>Feature</t>
        </is>
      </c>
      <c r="E416" s="10" t="inlineStr"/>
      <c r="F416" s="10" t="inlineStr">
        <is>
          <t>After create: lands on Evaluation Settings; assessor invite emails go out; evaluation appears in the list.</t>
        </is>
      </c>
      <c r="G416" s="10" t="inlineStr"/>
      <c r="H416" s="10" t="inlineStr"/>
      <c r="I416" s="10" t="inlineStr"/>
      <c r="J416" s="10" t="inlineStr"/>
      <c r="K416" s="10" t="inlineStr"/>
      <c r="L416" s="10" t="inlineStr"/>
      <c r="M416" s="10" t="inlineStr"/>
    </row>
    <row r="417">
      <c r="A417" s="10" t="n">
        <v>27</v>
      </c>
      <c r="B417" s="10" t="inlineStr">
        <is>
          <t>EVALUATION: CREATE, EDIT, COPY, ARCHIVE, DELETE</t>
        </is>
      </c>
      <c r="C417" s="10" t="inlineStr">
        <is>
          <t>27.10</t>
        </is>
      </c>
      <c r="D417" s="10" t="inlineStr">
        <is>
          <t>Feature</t>
        </is>
      </c>
      <c r="E417" s="10" t="inlineStr"/>
      <c r="F417" s="10" t="inlineStr">
        <is>
          <t>Settings &gt; Edit Details and the home pencil: change name, date, times, location; both places show the same values afterwards.</t>
        </is>
      </c>
      <c r="G417" s="10" t="inlineStr"/>
      <c r="H417" s="10" t="inlineStr"/>
      <c r="I417" s="10" t="inlineStr"/>
      <c r="J417" s="10" t="inlineStr"/>
      <c r="K417" s="10" t="inlineStr"/>
      <c r="L417" s="10" t="inlineStr"/>
      <c r="M417" s="10" t="inlineStr"/>
    </row>
    <row r="418">
      <c r="A418" s="10" t="n">
        <v>27</v>
      </c>
      <c r="B418" s="10" t="inlineStr">
        <is>
          <t>EVALUATION: CREATE, EDIT, COPY, ARCHIVE, DELETE</t>
        </is>
      </c>
      <c r="C418" s="10" t="inlineStr">
        <is>
          <t>27.11</t>
        </is>
      </c>
      <c r="D418" s="10" t="inlineStr">
        <is>
          <t>Feature</t>
        </is>
      </c>
      <c r="E418" s="10" t="inlineStr"/>
      <c r="F418" s="10" t="inlineStr">
        <is>
          <t>Blank name keeps the old name; clearing date/time clears them.</t>
        </is>
      </c>
      <c r="G418" s="10" t="inlineStr"/>
      <c r="H418" s="10" t="inlineStr"/>
      <c r="I418" s="10" t="inlineStr"/>
      <c r="J418" s="10" t="inlineStr"/>
      <c r="K418" s="10" t="inlineStr"/>
      <c r="L418" s="10" t="inlineStr"/>
      <c r="M418" s="10" t="inlineStr"/>
    </row>
    <row r="419">
      <c r="A419" s="10" t="n">
        <v>27</v>
      </c>
      <c r="B419" s="10" t="inlineStr">
        <is>
          <t>EVALUATION: CREATE, EDIT, COPY, ARCHIVE, DELETE</t>
        </is>
      </c>
      <c r="C419" s="10" t="inlineStr">
        <is>
          <t>27.12</t>
        </is>
      </c>
      <c r="D419" s="10" t="inlineStr">
        <is>
          <t>Feature</t>
        </is>
      </c>
      <c r="E419" s="10" t="inlineStr"/>
      <c r="F419" s="10" t="inlineStr">
        <is>
          <t>Assessors: add, remove, resend invite, status labels (pending / accepted / declined / completed).</t>
        </is>
      </c>
      <c r="G419" s="10" t="inlineStr"/>
      <c r="H419" s="10" t="inlineStr"/>
      <c r="I419" s="10" t="inlineStr"/>
      <c r="J419" s="10" t="inlineStr"/>
      <c r="K419" s="10" t="inlineStr"/>
      <c r="L419" s="10" t="inlineStr"/>
      <c r="M419" s="10" t="inlineStr"/>
    </row>
    <row r="420">
      <c r="A420" s="10" t="n">
        <v>27</v>
      </c>
      <c r="B420" s="10" t="inlineStr">
        <is>
          <t>EVALUATION: CREATE, EDIT, COPY, ARCHIVE, DELETE</t>
        </is>
      </c>
      <c r="C420" s="10" t="inlineStr">
        <is>
          <t>27.13</t>
        </is>
      </c>
      <c r="D420" s="10" t="inlineStr">
        <is>
          <t>Feature</t>
        </is>
      </c>
      <c r="E420" s="10" t="inlineStr"/>
      <c r="F420" s="10" t="inlineStr">
        <is>
          <t>Rubric Builder: add/edit/delete rubrics, weights, per-position (skater/goalie) sets; "View Reference" lists them.</t>
        </is>
      </c>
      <c r="G420" s="10" t="inlineStr"/>
      <c r="H420" s="10" t="inlineStr"/>
      <c r="I420" s="10" t="inlineStr"/>
      <c r="J420" s="10" t="inlineStr"/>
      <c r="K420" s="10" t="inlineStr"/>
      <c r="L420" s="10" t="inlineStr"/>
      <c r="M420" s="10" t="inlineStr"/>
    </row>
    <row r="421">
      <c r="A421" s="10" t="n">
        <v>27</v>
      </c>
      <c r="B421" s="10" t="inlineStr">
        <is>
          <t>EVALUATION: CREATE, EDIT, COPY, ARCHIVE, DELETE</t>
        </is>
      </c>
      <c r="C421" s="10" t="inlineStr">
        <is>
          <t>27.14</t>
        </is>
      </c>
      <c r="D421" s="10" t="inlineStr">
        <is>
          <t>Feature</t>
        </is>
      </c>
      <c r="E421" s="10" t="inlineStr">
        <is>
          <t>COPY / ARCHIVE / DELETE</t>
        </is>
      </c>
      <c r="F421" s="10" t="inlineStr">
        <is>
          <t>Copy Evaluation duplicates settings + rubrics (and roster as designed); respects the plan limit.</t>
        </is>
      </c>
      <c r="G421" s="10" t="inlineStr"/>
      <c r="H421" s="10" t="inlineStr"/>
      <c r="I421" s="10" t="inlineStr"/>
      <c r="J421" s="10" t="inlineStr"/>
      <c r="K421" s="10" t="inlineStr"/>
      <c r="L421" s="10" t="inlineStr"/>
      <c r="M421" s="10" t="inlineStr"/>
    </row>
    <row r="422">
      <c r="A422" s="10" t="n">
        <v>27</v>
      </c>
      <c r="B422" s="10" t="inlineStr">
        <is>
          <t>EVALUATION: CREATE, EDIT, COPY, ARCHIVE, DELETE</t>
        </is>
      </c>
      <c r="C422" s="10" t="inlineStr">
        <is>
          <t>27.15</t>
        </is>
      </c>
      <c r="D422" s="10" t="inlineStr">
        <is>
          <t>Feature</t>
        </is>
      </c>
      <c r="E422" s="10" t="inlineStr">
        <is>
          <t>COPY / ARCHIVE / DELETE</t>
        </is>
      </c>
      <c r="F422" s="10" t="inlineStr">
        <is>
          <t>Archive: leaves Home, appears under Archived, can be restored; data intact.</t>
        </is>
      </c>
      <c r="G422" s="10" t="inlineStr"/>
      <c r="H422" s="10" t="inlineStr"/>
      <c r="I422" s="10" t="inlineStr"/>
      <c r="J422" s="10" t="inlineStr"/>
      <c r="K422" s="10" t="inlineStr"/>
      <c r="L422" s="10" t="inlineStr"/>
      <c r="M422" s="10" t="inlineStr"/>
    </row>
    <row r="423">
      <c r="A423" s="10" t="n">
        <v>27</v>
      </c>
      <c r="B423" s="10" t="inlineStr">
        <is>
          <t>EVALUATION: CREATE, EDIT, COPY, ARCHIVE, DELETE</t>
        </is>
      </c>
      <c r="C423" s="10" t="inlineStr">
        <is>
          <t>27.16</t>
        </is>
      </c>
      <c r="D423" s="10" t="inlineStr">
        <is>
          <t>Feature</t>
        </is>
      </c>
      <c r="E423" s="10" t="inlineStr">
        <is>
          <t>COPY / ARCHIVE / DELETE</t>
        </is>
      </c>
      <c r="F423" s="10" t="inlineStr">
        <is>
          <t>Delete: strong confirmation; evaluation removed; players and athletes are not lost from other evaluations/teams.</t>
        </is>
      </c>
      <c r="G423" s="10" t="inlineStr"/>
      <c r="H423" s="10" t="inlineStr"/>
      <c r="I423" s="10" t="inlineStr"/>
      <c r="J423" s="10" t="inlineStr"/>
      <c r="K423" s="10" t="inlineStr"/>
      <c r="L423" s="10" t="inlineStr"/>
      <c r="M423" s="10" t="inlineStr"/>
    </row>
    <row r="424">
      <c r="A424" s="10" t="n">
        <v>27</v>
      </c>
      <c r="B424" s="10" t="inlineStr">
        <is>
          <t>EVALUATION: CREATE, EDIT, COPY, ARCHIVE, DELETE</t>
        </is>
      </c>
      <c r="C424" s="10" t="inlineStr">
        <is>
          <t>27.17</t>
        </is>
      </c>
      <c r="D424" s="10" t="inlineStr">
        <is>
          <t>Feature</t>
        </is>
      </c>
      <c r="E424" s="10" t="inlineStr">
        <is>
          <t>COPY / ARCHIVE / DELETE</t>
        </is>
      </c>
      <c r="F424" s="10" t="inlineStr">
        <is>
          <t>Evaluation on a team: delete/archive keeps the team and roster.</t>
        </is>
      </c>
      <c r="G424" s="10" t="inlineStr"/>
      <c r="H424" s="10" t="inlineStr"/>
      <c r="I424" s="10" t="inlineStr"/>
      <c r="J424" s="10" t="inlineStr"/>
      <c r="K424" s="10" t="inlineStr"/>
      <c r="L424" s="10" t="inlineStr"/>
      <c r="M424" s="10" t="inlineStr"/>
    </row>
    <row r="425">
      <c r="A425" s="10" t="n">
        <v>27</v>
      </c>
      <c r="B425" s="10" t="inlineStr">
        <is>
          <t>EVALUATION: CREATE, EDIT, COPY, ARCHIVE, DELETE</t>
        </is>
      </c>
      <c r="C425" s="10" t="inlineStr">
        <is>
          <t>27.18</t>
        </is>
      </c>
      <c r="D425" s="10" t="inlineStr">
        <is>
          <t>Feature</t>
        </is>
      </c>
      <c r="E425" s="10" t="inlineStr">
        <is>
          <t>COPY / ARCHIVE / DELETE</t>
        </is>
      </c>
      <c r="F425" s="10" t="inlineStr">
        <is>
          <t>Cloud registration code shown; regenerate/copy works.</t>
        </is>
      </c>
      <c r="G425" s="10" t="inlineStr"/>
      <c r="H425" s="10" t="inlineStr"/>
      <c r="I425" s="10" t="inlineStr"/>
      <c r="J425" s="10" t="inlineStr"/>
      <c r="K425" s="10" t="inlineStr"/>
      <c r="L425" s="10" t="inlineStr"/>
      <c r="M425" s="10" t="inlineStr"/>
    </row>
    <row r="426">
      <c r="A426" s="10" t="n">
        <v>28</v>
      </c>
      <c r="B426" s="10" t="inlineStr">
        <is>
          <t>EVALUATION ROSTER</t>
        </is>
      </c>
      <c r="C426" s="10" t="inlineStr">
        <is>
          <t>28.1</t>
        </is>
      </c>
      <c r="D426" s="10" t="inlineStr">
        <is>
          <t>Feature</t>
        </is>
      </c>
      <c r="E426" s="10" t="inlineStr"/>
      <c r="F426" s="10" t="inlineStr">
        <is>
          <t>Roster list: avatar, name, jersey, position pill, QR tag, scored count; smooth with 900+ players.</t>
        </is>
      </c>
      <c r="G426" s="10" t="inlineStr"/>
      <c r="H426" s="10" t="inlineStr"/>
      <c r="I426" s="10" t="inlineStr"/>
      <c r="J426" s="10" t="inlineStr"/>
      <c r="K426" s="10" t="inlineStr"/>
      <c r="L426" s="10" t="inlineStr"/>
      <c r="M426" s="10" t="inlineStr"/>
    </row>
    <row r="427">
      <c r="A427" s="10" t="n">
        <v>28</v>
      </c>
      <c r="B427" s="10" t="inlineStr">
        <is>
          <t>EVALUATION ROSTER</t>
        </is>
      </c>
      <c r="C427" s="10" t="inlineStr">
        <is>
          <t>28.2</t>
        </is>
      </c>
      <c r="D427" s="10" t="inlineStr">
        <is>
          <t>Feature</t>
        </is>
      </c>
      <c r="E427" s="10" t="inlineStr"/>
      <c r="F427" s="10" t="inlineStr">
        <is>
          <t>Search by name; filter chips (All / Scored / Unscored / each position group) with correct counts; filter is remembered.</t>
        </is>
      </c>
      <c r="G427" s="10" t="inlineStr"/>
      <c r="H427" s="10" t="inlineStr"/>
      <c r="I427" s="10" t="inlineStr"/>
      <c r="J427" s="10" t="inlineStr"/>
      <c r="K427" s="10" t="inlineStr"/>
      <c r="L427" s="10" t="inlineStr"/>
      <c r="M427" s="10" t="inlineStr"/>
    </row>
    <row r="428">
      <c r="A428" s="10" t="n">
        <v>28</v>
      </c>
      <c r="B428" s="10" t="inlineStr">
        <is>
          <t>EVALUATION ROSTER</t>
        </is>
      </c>
      <c r="C428" s="10" t="inlineStr">
        <is>
          <t>28.3</t>
        </is>
      </c>
      <c r="D428" s="10" t="inlineStr">
        <is>
          <t>Feature</t>
        </is>
      </c>
      <c r="E428" s="10" t="inlineStr"/>
      <c r="F428" s="10" t="inlineStr">
        <is>
          <t>Add Player: required first/last, valid emails, phone 10-15 digits, birth year; guardian email creates/links a guardian account and sends the invite.</t>
        </is>
      </c>
      <c r="G428" s="10" t="inlineStr"/>
      <c r="H428" s="10" t="inlineStr"/>
      <c r="I428" s="10" t="inlineStr"/>
      <c r="J428" s="10" t="inlineStr"/>
      <c r="K428" s="10" t="inlineStr"/>
      <c r="L428" s="10" t="inlineStr"/>
      <c r="M428" s="10" t="inlineStr"/>
    </row>
    <row r="429">
      <c r="A429" s="10" t="n">
        <v>28</v>
      </c>
      <c r="B429" s="10" t="inlineStr">
        <is>
          <t>EVALUATION ROSTER</t>
        </is>
      </c>
      <c r="C429" s="10" t="inlineStr">
        <is>
          <t>28.4</t>
        </is>
      </c>
      <c r="D429" s="10" t="inlineStr">
        <is>
          <t>Feature</t>
        </is>
      </c>
      <c r="E429" s="10" t="inlineStr"/>
      <c r="F429" s="10" t="inlineStr">
        <is>
          <t>Add existing athlete from another evaluation/team (no duplicate athlete created).</t>
        </is>
      </c>
      <c r="G429" s="10" t="inlineStr"/>
      <c r="H429" s="10" t="inlineStr"/>
      <c r="I429" s="10" t="inlineStr"/>
      <c r="J429" s="10" t="inlineStr"/>
      <c r="K429" s="10" t="inlineStr"/>
      <c r="L429" s="10" t="inlineStr"/>
      <c r="M429" s="10" t="inlineStr"/>
    </row>
    <row r="430">
      <c r="A430" s="10" t="n">
        <v>28</v>
      </c>
      <c r="B430" s="10" t="inlineStr">
        <is>
          <t>EVALUATION ROSTER</t>
        </is>
      </c>
      <c r="C430" s="10" t="inlineStr">
        <is>
          <t>28.5</t>
        </is>
      </c>
      <c r="D430" s="10" t="inlineStr">
        <is>
          <t>Feature</t>
        </is>
      </c>
      <c r="E430" s="10" t="inlineStr"/>
      <c r="F430" s="10" t="inlineStr">
        <is>
          <t>Edit player (name, jersey, position, contact, photo): saved, list updates.</t>
        </is>
      </c>
      <c r="G430" s="10" t="inlineStr"/>
      <c r="H430" s="10" t="inlineStr"/>
      <c r="I430" s="10" t="inlineStr"/>
      <c r="J430" s="10" t="inlineStr"/>
      <c r="K430" s="10" t="inlineStr"/>
      <c r="L430" s="10" t="inlineStr"/>
      <c r="M430" s="10" t="inlineStr"/>
    </row>
    <row r="431">
      <c r="A431" s="10" t="n">
        <v>28</v>
      </c>
      <c r="B431" s="10" t="inlineStr">
        <is>
          <t>EVALUATION ROSTER</t>
        </is>
      </c>
      <c r="C431" s="10" t="inlineStr">
        <is>
          <t>28.6</t>
        </is>
      </c>
      <c r="D431" s="10" t="inlineStr">
        <is>
          <t>Feature</t>
        </is>
      </c>
      <c r="E431" s="10" t="inlineStr"/>
      <c r="F431" s="10" t="inlineStr">
        <is>
          <t>Player limit: Free 15, Coach 30, Coach+ 100: message at the limit for Add, Import, Registrations placement, Roster Library.</t>
        </is>
      </c>
      <c r="G431" s="10" t="inlineStr"/>
      <c r="H431" s="10" t="inlineStr"/>
      <c r="I431" s="10" t="inlineStr"/>
      <c r="J431" s="10" t="inlineStr"/>
      <c r="K431" s="10" t="inlineStr"/>
      <c r="L431" s="10" t="inlineStr"/>
      <c r="M431" s="10" t="inlineStr"/>
    </row>
    <row r="432">
      <c r="A432" s="10" t="n">
        <v>28</v>
      </c>
      <c r="B432" s="10" t="inlineStr">
        <is>
          <t>EVALUATION ROSTER</t>
        </is>
      </c>
      <c r="C432" s="10" t="inlineStr">
        <is>
          <t>28.7</t>
        </is>
      </c>
      <c r="D432" s="10" t="inlineStr">
        <is>
          <t>Feature</t>
        </is>
      </c>
      <c r="E432" s="10" t="inlineStr"/>
      <c r="F432" s="10" t="inlineStr">
        <is>
          <t>Import (CSV/XLSX): mapping step, preview, "Remove incomplete", summary of added/failed rows (see sections 2-3).</t>
        </is>
      </c>
      <c r="G432" s="10" t="inlineStr"/>
      <c r="H432" s="10" t="inlineStr"/>
      <c r="I432" s="10" t="inlineStr"/>
      <c r="J432" s="10" t="inlineStr"/>
      <c r="K432" s="10" t="inlineStr"/>
      <c r="L432" s="10" t="inlineStr"/>
      <c r="M432" s="10" t="inlineStr"/>
    </row>
    <row r="433">
      <c r="A433" s="10" t="n">
        <v>28</v>
      </c>
      <c r="B433" s="10" t="inlineStr">
        <is>
          <t>EVALUATION ROSTER</t>
        </is>
      </c>
      <c r="C433" s="10" t="inlineStr">
        <is>
          <t>28.8</t>
        </is>
      </c>
      <c r="D433" s="10" t="inlineStr">
        <is>
          <t>Feature</t>
        </is>
      </c>
      <c r="E433" s="10" t="inlineStr"/>
      <c r="F433" s="10" t="inlineStr">
        <is>
          <t>Select mode: Select All / Deselect All / Delete Selected with confirmation; partial failure message; counts update.</t>
        </is>
      </c>
      <c r="G433" s="10" t="inlineStr"/>
      <c r="H433" s="10" t="inlineStr"/>
      <c r="I433" s="10" t="inlineStr"/>
      <c r="J433" s="10" t="inlineStr"/>
      <c r="K433" s="10" t="inlineStr"/>
      <c r="L433" s="10" t="inlineStr"/>
      <c r="M433" s="10" t="inlineStr"/>
    </row>
    <row r="434">
      <c r="A434" s="10" t="n">
        <v>28</v>
      </c>
      <c r="B434" s="10" t="inlineStr">
        <is>
          <t>EVALUATION ROSTER</t>
        </is>
      </c>
      <c r="C434" s="10" t="inlineStr">
        <is>
          <t>28.9</t>
        </is>
      </c>
      <c r="D434" s="10" t="inlineStr">
        <is>
          <t>Feature</t>
        </is>
      </c>
      <c r="E434" s="10" t="inlineStr"/>
      <c r="F434" s="10" t="inlineStr">
        <is>
          <t>Delete a single player from the player screen; soft delete keeps history; guardian link cleared only if on no other roster.</t>
        </is>
      </c>
      <c r="G434" s="10" t="inlineStr"/>
      <c r="H434" s="10" t="inlineStr"/>
      <c r="I434" s="10" t="inlineStr"/>
      <c r="J434" s="10" t="inlineStr"/>
      <c r="K434" s="10" t="inlineStr"/>
      <c r="L434" s="10" t="inlineStr"/>
      <c r="M434" s="10" t="inlineStr"/>
    </row>
    <row r="435">
      <c r="A435" s="10" t="n">
        <v>28</v>
      </c>
      <c r="B435" s="10" t="inlineStr">
        <is>
          <t>EVALUATION ROSTER</t>
        </is>
      </c>
      <c r="C435" s="10" t="inlineStr">
        <is>
          <t>28.10</t>
        </is>
      </c>
      <c r="D435" s="10" t="inlineStr">
        <is>
          <t>Feature</t>
        </is>
      </c>
      <c r="E435" s="10" t="inlineStr"/>
      <c r="F435" s="10" t="inlineStr">
        <is>
          <t>Tools: Team Builder, Roster Library, Scan Sheet Import, Player Selection Letters, Dummy Data, Clear Dummy Data (visible per plan/role).</t>
        </is>
      </c>
      <c r="G435" s="10" t="inlineStr"/>
      <c r="H435" s="10" t="inlineStr"/>
      <c r="I435" s="10" t="inlineStr"/>
      <c r="J435" s="10" t="inlineStr"/>
      <c r="K435" s="10" t="inlineStr"/>
      <c r="L435" s="10" t="inlineStr"/>
      <c r="M435" s="10" t="inlineStr"/>
    </row>
    <row r="436">
      <c r="A436" s="10" t="n">
        <v>28</v>
      </c>
      <c r="B436" s="10" t="inlineStr">
        <is>
          <t>EVALUATION ROSTER</t>
        </is>
      </c>
      <c r="C436" s="10" t="inlineStr">
        <is>
          <t>28.11</t>
        </is>
      </c>
      <c r="D436" s="10" t="inlineStr">
        <is>
          <t>Feature</t>
        </is>
      </c>
      <c r="E436" s="10" t="inlineStr"/>
      <c r="F436" s="10" t="inlineStr">
        <is>
          <t>Roster Library: pick players from other evaluations, import.</t>
        </is>
      </c>
      <c r="G436" s="10" t="inlineStr"/>
      <c r="H436" s="10" t="inlineStr"/>
      <c r="I436" s="10" t="inlineStr"/>
      <c r="J436" s="10" t="inlineStr"/>
      <c r="K436" s="10" t="inlineStr"/>
      <c r="L436" s="10" t="inlineStr"/>
      <c r="M436" s="10" t="inlineStr"/>
    </row>
    <row r="437">
      <c r="A437" s="10" t="n">
        <v>28</v>
      </c>
      <c r="B437" s="10" t="inlineStr">
        <is>
          <t>EVALUATION ROSTER</t>
        </is>
      </c>
      <c r="C437" s="10" t="inlineStr">
        <is>
          <t>28.12</t>
        </is>
      </c>
      <c r="D437" s="10" t="inlineStr">
        <is>
          <t>Feature</t>
        </is>
      </c>
      <c r="E437" s="10" t="inlineStr"/>
      <c r="F437" s="10" t="inlineStr">
        <is>
          <t>Scan Sheet Import: photo/scan of a paper sheet parses rows, mapping + confirm.</t>
        </is>
      </c>
      <c r="G437" s="10" t="inlineStr"/>
      <c r="H437" s="10" t="inlineStr"/>
      <c r="I437" s="10" t="inlineStr"/>
      <c r="J437" s="10" t="inlineStr"/>
      <c r="K437" s="10" t="inlineStr"/>
      <c r="L437" s="10" t="inlineStr"/>
      <c r="M437" s="10" t="inlineStr"/>
    </row>
    <row r="438">
      <c r="A438" s="10" t="n">
        <v>28</v>
      </c>
      <c r="B438" s="10" t="inlineStr">
        <is>
          <t>EVALUATION ROSTER</t>
        </is>
      </c>
      <c r="C438" s="10" t="inlineStr">
        <is>
          <t>28.13</t>
        </is>
      </c>
      <c r="D438" s="10" t="inlineStr">
        <is>
          <t>Feature</t>
        </is>
      </c>
      <c r="E438" s="10" t="inlineStr"/>
      <c r="F438" s="10" t="inlineStr">
        <is>
          <t>Dummy data generator: counts respected, scores optional, clear removes only generated records.</t>
        </is>
      </c>
      <c r="G438" s="10" t="inlineStr"/>
      <c r="H438" s="10" t="inlineStr"/>
      <c r="I438" s="10" t="inlineStr"/>
      <c r="J438" s="10" t="inlineStr"/>
      <c r="K438" s="10" t="inlineStr"/>
      <c r="L438" s="10" t="inlineStr"/>
      <c r="M438" s="10" t="inlineStr"/>
    </row>
    <row r="439">
      <c r="A439" s="10" t="n">
        <v>28</v>
      </c>
      <c r="B439" s="10" t="inlineStr">
        <is>
          <t>EVALUATION ROSTER</t>
        </is>
      </c>
      <c r="C439" s="10" t="inlineStr">
        <is>
          <t>28.14</t>
        </is>
      </c>
      <c r="D439" s="10" t="inlineStr">
        <is>
          <t>Feature</t>
        </is>
      </c>
      <c r="E439" s="10" t="inlineStr"/>
      <c r="F439" s="10" t="inlineStr">
        <is>
          <t>"Complete Assessing" (assessor): marks done, no double submit.</t>
        </is>
      </c>
      <c r="G439" s="10" t="inlineStr"/>
      <c r="H439" s="10" t="inlineStr"/>
      <c r="I439" s="10" t="inlineStr"/>
      <c r="J439" s="10" t="inlineStr"/>
      <c r="K439" s="10" t="inlineStr"/>
      <c r="L439" s="10" t="inlineStr"/>
      <c r="M439" s="10" t="inlineStr"/>
    </row>
    <row r="440">
      <c r="A440" s="10" t="n">
        <v>28</v>
      </c>
      <c r="B440" s="10" t="inlineStr">
        <is>
          <t>EVALUATION ROSTER</t>
        </is>
      </c>
      <c r="C440" s="10" t="inlineStr">
        <is>
          <t>28.15</t>
        </is>
      </c>
      <c r="D440" s="10" t="inlineStr">
        <is>
          <t>Feature</t>
        </is>
      </c>
      <c r="E440" s="10" t="inlineStr"/>
      <c r="F440" s="10" t="inlineStr">
        <is>
          <t>Roster while a bulk add runs elsewhere shows "Adding players..." not the empty state.</t>
        </is>
      </c>
      <c r="G440" s="10" t="inlineStr"/>
      <c r="H440" s="10" t="inlineStr"/>
      <c r="I440" s="10" t="inlineStr"/>
      <c r="J440" s="10" t="inlineStr"/>
      <c r="K440" s="10" t="inlineStr"/>
      <c r="L440" s="10" t="inlineStr"/>
      <c r="M440" s="10" t="inlineStr"/>
    </row>
    <row r="441">
      <c r="A441" s="10" t="n">
        <v>29</v>
      </c>
      <c r="B441" s="10" t="inlineStr">
        <is>
          <t>REGISTRATIONS AND QR</t>
        </is>
      </c>
      <c r="C441" s="10" t="inlineStr">
        <is>
          <t>29.1</t>
        </is>
      </c>
      <c r="D441" s="10" t="inlineStr">
        <is>
          <t>Feature</t>
        </is>
      </c>
      <c r="E441" s="10" t="inlineStr"/>
      <c r="F441" s="10" t="inlineStr">
        <is>
          <t>Registration code + QR + Share link generate; QR scans on a second phone and opens the public form.</t>
        </is>
      </c>
      <c r="G441" s="10" t="inlineStr"/>
      <c r="H441" s="10" t="inlineStr"/>
      <c r="I441" s="10" t="inlineStr"/>
      <c r="J441" s="10" t="inlineStr"/>
      <c r="K441" s="10" t="inlineStr"/>
      <c r="L441" s="10" t="inlineStr"/>
      <c r="M441" s="10" t="inlineStr"/>
    </row>
    <row r="442">
      <c r="A442" s="10" t="n">
        <v>29</v>
      </c>
      <c r="B442" s="10" t="inlineStr">
        <is>
          <t>REGISTRATIONS AND QR</t>
        </is>
      </c>
      <c r="C442" s="10" t="inlineStr">
        <is>
          <t>29.2</t>
        </is>
      </c>
      <c r="D442" s="10" t="inlineStr">
        <is>
          <t>Feature</t>
        </is>
      </c>
      <c r="E442" s="10" t="inlineStr"/>
      <c r="F442" s="10" t="inlineStr">
        <is>
          <t>Public form (register/[eventId]): required fields, waiver, friends, guardian details; submit shows a confirmation and the registration appears as Pending.</t>
        </is>
      </c>
      <c r="G442" s="10" t="inlineStr"/>
      <c r="H442" s="10" t="inlineStr"/>
      <c r="I442" s="10" t="inlineStr"/>
      <c r="J442" s="10" t="inlineStr"/>
      <c r="K442" s="10" t="inlineStr"/>
      <c r="L442" s="10" t="inlineStr"/>
      <c r="M442" s="10" t="inlineStr"/>
    </row>
    <row r="443">
      <c r="A443" s="10" t="n">
        <v>29</v>
      </c>
      <c r="B443" s="10" t="inlineStr">
        <is>
          <t>REGISTRATIONS AND QR</t>
        </is>
      </c>
      <c r="C443" s="10" t="inlineStr">
        <is>
          <t>29.3</t>
        </is>
      </c>
      <c r="D443" s="10" t="inlineStr">
        <is>
          <t>Feature</t>
        </is>
      </c>
      <c r="E443" s="10" t="inlineStr"/>
      <c r="F443" s="10" t="inlineStr">
        <is>
          <t>Pending / All / Dismissed tabs, badge count accurate.</t>
        </is>
      </c>
      <c r="G443" s="10" t="inlineStr"/>
      <c r="H443" s="10" t="inlineStr"/>
      <c r="I443" s="10" t="inlineStr"/>
      <c r="J443" s="10" t="inlineStr"/>
      <c r="K443" s="10" t="inlineStr"/>
      <c r="L443" s="10" t="inlineStr"/>
      <c r="M443" s="10" t="inlineStr"/>
    </row>
    <row r="444">
      <c r="A444" s="10" t="n">
        <v>29</v>
      </c>
      <c r="B444" s="10" t="inlineStr">
        <is>
          <t>REGISTRATIONS AND QR</t>
        </is>
      </c>
      <c r="C444" s="10" t="inlineStr">
        <is>
          <t>29.4</t>
        </is>
      </c>
      <c r="D444" s="10" t="inlineStr">
        <is>
          <t>Feature</t>
        </is>
      </c>
      <c r="E444" s="10" t="inlineStr"/>
      <c r="F444" s="10" t="inlineStr">
        <is>
          <t>Tap a card: profile modal with all submitted fields; Add to Roster, Dismiss from there.</t>
        </is>
      </c>
      <c r="G444" s="10" t="inlineStr"/>
      <c r="H444" s="10" t="inlineStr"/>
      <c r="I444" s="10" t="inlineStr"/>
      <c r="J444" s="10" t="inlineStr"/>
      <c r="K444" s="10" t="inlineStr"/>
      <c r="L444" s="10" t="inlineStr"/>
      <c r="M444" s="10" t="inlineStr"/>
    </row>
    <row r="445">
      <c r="A445" s="10" t="n">
        <v>29</v>
      </c>
      <c r="B445" s="10" t="inlineStr">
        <is>
          <t>REGISTRATIONS AND QR</t>
        </is>
      </c>
      <c r="C445" s="10" t="inlineStr">
        <is>
          <t>29.5</t>
        </is>
      </c>
      <c r="D445" s="10" t="inlineStr">
        <is>
          <t>Feature</t>
        </is>
      </c>
      <c r="E445" s="10" t="inlineStr"/>
      <c r="F445" s="10" t="inlineStr">
        <is>
          <t>Select / Select All / Clear; sticky "N selected" bar; "Add N to Roster" places everyone (team OR evaluation destination), progress reaches N of N.</t>
        </is>
      </c>
      <c r="G445" s="10" t="inlineStr"/>
      <c r="H445" s="10" t="inlineStr"/>
      <c r="I445" s="10" t="inlineStr"/>
      <c r="J445" s="10" t="inlineStr"/>
      <c r="K445" s="10" t="inlineStr"/>
      <c r="L445" s="10" t="inlineStr"/>
      <c r="M445" s="10" t="inlineStr"/>
    </row>
    <row r="446">
      <c r="A446" s="10" t="n">
        <v>29</v>
      </c>
      <c r="B446" s="10" t="inlineStr">
        <is>
          <t>REGISTRATIONS AND QR</t>
        </is>
      </c>
      <c r="C446" s="10" t="inlineStr">
        <is>
          <t>29.6</t>
        </is>
      </c>
      <c r="D446" s="10" t="inlineStr">
        <is>
          <t>Feature</t>
        </is>
      </c>
      <c r="E446" s="10" t="inlineStr"/>
      <c r="F446" s="10" t="inlineStr">
        <is>
          <t>Single Add to Roster; destination picker lists only valid evaluations/teams; Free-plan limit respected.</t>
        </is>
      </c>
      <c r="G446" s="10" t="inlineStr"/>
      <c r="H446" s="10" t="inlineStr"/>
      <c r="I446" s="10" t="inlineStr"/>
      <c r="J446" s="10" t="inlineStr"/>
      <c r="K446" s="10" t="inlineStr"/>
      <c r="L446" s="10" t="inlineStr"/>
      <c r="M446" s="10" t="inlineStr"/>
    </row>
    <row r="447">
      <c r="A447" s="10" t="n">
        <v>29</v>
      </c>
      <c r="B447" s="10" t="inlineStr">
        <is>
          <t>REGISTRATIONS AND QR</t>
        </is>
      </c>
      <c r="C447" s="10" t="inlineStr">
        <is>
          <t>29.7</t>
        </is>
      </c>
      <c r="D447" s="10" t="inlineStr">
        <is>
          <t>Feature</t>
        </is>
      </c>
      <c r="E447" s="10" t="inlineStr"/>
      <c r="F447" s="10" t="inlineStr">
        <is>
          <t>Dismiss a registration; it moves to Dismissed; can be re-added.</t>
        </is>
      </c>
      <c r="G447" s="10" t="inlineStr"/>
      <c r="H447" s="10" t="inlineStr"/>
      <c r="I447" s="10" t="inlineStr"/>
      <c r="J447" s="10" t="inlineStr"/>
      <c r="K447" s="10" t="inlineStr"/>
      <c r="L447" s="10" t="inlineStr"/>
      <c r="M447" s="10" t="inlineStr"/>
    </row>
    <row r="448">
      <c r="A448" s="10" t="n">
        <v>29</v>
      </c>
      <c r="B448" s="10" t="inlineStr">
        <is>
          <t>REGISTRATIONS AND QR</t>
        </is>
      </c>
      <c r="C448" s="10" t="inlineStr">
        <is>
          <t>29.8</t>
        </is>
      </c>
      <c r="D448" s="10" t="inlineStr">
        <is>
          <t>Feature</t>
        </is>
      </c>
      <c r="E448" s="10" t="inlineStr"/>
      <c r="F448" s="10" t="inlineStr">
        <is>
          <t>Siblings with the same guardian email: one guardian account, both athletes linked.</t>
        </is>
      </c>
      <c r="G448" s="10" t="inlineStr"/>
      <c r="H448" s="10" t="inlineStr"/>
      <c r="I448" s="10" t="inlineStr"/>
      <c r="J448" s="10" t="inlineStr"/>
      <c r="K448" s="10" t="inlineStr"/>
      <c r="L448" s="10" t="inlineStr"/>
      <c r="M448" s="10" t="inlineStr"/>
    </row>
    <row r="449">
      <c r="A449" s="10" t="n">
        <v>29</v>
      </c>
      <c r="B449" s="10" t="inlineStr">
        <is>
          <t>REGISTRATIONS AND QR</t>
        </is>
      </c>
      <c r="C449" s="10" t="inlineStr">
        <is>
          <t>29.9</t>
        </is>
      </c>
      <c r="D449" s="10" t="inlineStr">
        <is>
          <t>Feature</t>
        </is>
      </c>
      <c r="E449" s="10" t="inlineStr"/>
      <c r="F449" s="10" t="inlineStr">
        <is>
          <t>Export CSV opens the share sheet with correct columns.</t>
        </is>
      </c>
      <c r="G449" s="10" t="inlineStr"/>
      <c r="H449" s="10" t="inlineStr"/>
      <c r="I449" s="10" t="inlineStr"/>
      <c r="J449" s="10" t="inlineStr"/>
      <c r="K449" s="10" t="inlineStr"/>
      <c r="L449" s="10" t="inlineStr"/>
      <c r="M449" s="10" t="inlineStr"/>
    </row>
    <row r="450">
      <c r="A450" s="10" t="n">
        <v>29</v>
      </c>
      <c r="B450" s="10" t="inlineStr">
        <is>
          <t>REGISTRATIONS AND QR</t>
        </is>
      </c>
      <c r="C450" s="10" t="inlineStr">
        <is>
          <t>29.10</t>
        </is>
      </c>
      <c r="D450" s="10" t="inlineStr">
        <is>
          <t>Feature</t>
        </is>
      </c>
      <c r="E450" s="10" t="inlineStr"/>
      <c r="F450" s="10" t="inlineStr">
        <is>
          <t>Simulate QR Reg, Dummy Data, Clear Dummy Data (Club/association).</t>
        </is>
      </c>
      <c r="G450" s="10" t="inlineStr"/>
      <c r="H450" s="10" t="inlineStr"/>
      <c r="I450" s="10" t="inlineStr"/>
      <c r="J450" s="10" t="inlineStr"/>
      <c r="K450" s="10" t="inlineStr"/>
      <c r="L450" s="10" t="inlineStr"/>
      <c r="M450" s="10" t="inlineStr"/>
    </row>
    <row r="451">
      <c r="A451" s="10" t="n">
        <v>29</v>
      </c>
      <c r="B451" s="10" t="inlineStr">
        <is>
          <t>REGISTRATIONS AND QR</t>
        </is>
      </c>
      <c r="C451" s="10" t="inlineStr">
        <is>
          <t>29.11</t>
        </is>
      </c>
      <c r="D451" s="10" t="inlineStr">
        <is>
          <t>Feature</t>
        </is>
      </c>
      <c r="E451" s="10" t="inlineStr"/>
      <c r="F451" s="10" t="inlineStr">
        <is>
          <t>Payment status badge (paid/unpaid) matches Stripe for paid registrations.</t>
        </is>
      </c>
      <c r="G451" s="10" t="inlineStr"/>
      <c r="H451" s="10" t="inlineStr"/>
      <c r="I451" s="10" t="inlineStr"/>
      <c r="J451" s="10" t="inlineStr"/>
      <c r="K451" s="10" t="inlineStr"/>
      <c r="L451" s="10" t="inlineStr"/>
      <c r="M451" s="10" t="inlineStr"/>
    </row>
    <row r="452">
      <c r="A452" s="10" t="n">
        <v>29</v>
      </c>
      <c r="B452" s="10" t="inlineStr">
        <is>
          <t>REGISTRATIONS AND QR</t>
        </is>
      </c>
      <c r="C452" s="10" t="inlineStr">
        <is>
          <t>29.12</t>
        </is>
      </c>
      <c r="D452" s="10" t="inlineStr">
        <is>
          <t>Feature</t>
        </is>
      </c>
      <c r="E452" s="10" t="inlineStr"/>
      <c r="F452" s="10" t="inlineStr">
        <is>
          <t>Duplicate submission (same player twice): handled as designed.</t>
        </is>
      </c>
      <c r="G452" s="10" t="inlineStr"/>
      <c r="H452" s="10" t="inlineStr"/>
      <c r="I452" s="10" t="inlineStr"/>
      <c r="J452" s="10" t="inlineStr"/>
      <c r="K452" s="10" t="inlineStr"/>
      <c r="L452" s="10" t="inlineStr"/>
      <c r="M452" s="10" t="inlineStr"/>
    </row>
    <row r="453">
      <c r="A453" s="10" t="n">
        <v>30</v>
      </c>
      <c r="B453" s="10" t="inlineStr">
        <is>
          <t>SCORING (RINKSIDE, SCORE SCREEN, SCAN SHEET, OFFLINE)</t>
        </is>
      </c>
      <c r="C453" s="10" t="inlineStr">
        <is>
          <t>30.1</t>
        </is>
      </c>
      <c r="D453" s="10" t="inlineStr">
        <is>
          <t>Feature</t>
        </is>
      </c>
      <c r="E453" s="10" t="inlineStr"/>
      <c r="F453" s="10" t="inlineStr">
        <is>
          <t>Rinkside: pick player, score each rubric with the pad, notes, strengths/improve, recommendation; save shows success.</t>
        </is>
      </c>
      <c r="G453" s="10" t="inlineStr"/>
      <c r="H453" s="10" t="inlineStr"/>
      <c r="I453" s="10" t="inlineStr"/>
      <c r="J453" s="10" t="inlineStr"/>
      <c r="K453" s="10" t="inlineStr"/>
      <c r="L453" s="10" t="inlineStr"/>
      <c r="M453" s="10" t="inlineStr"/>
    </row>
    <row r="454">
      <c r="A454" s="10" t="n">
        <v>30</v>
      </c>
      <c r="B454" s="10" t="inlineStr">
        <is>
          <t>SCORING (RINKSIDE, SCORE SCREEN, SCAN SHEET, OFFLINE)</t>
        </is>
      </c>
      <c r="C454" s="10" t="inlineStr">
        <is>
          <t>30.2</t>
        </is>
      </c>
      <c r="D454" s="10" t="inlineStr">
        <is>
          <t>Feature</t>
        </is>
      </c>
      <c r="E454" s="10" t="inlineStr"/>
      <c r="F454" s="10" t="inlineStr">
        <is>
          <t>Score a goalie vs skater: the right rubric set appears.</t>
        </is>
      </c>
      <c r="G454" s="10" t="inlineStr"/>
      <c r="H454" s="10" t="inlineStr"/>
      <c r="I454" s="10" t="inlineStr"/>
      <c r="J454" s="10" t="inlineStr"/>
      <c r="K454" s="10" t="inlineStr"/>
      <c r="L454" s="10" t="inlineStr"/>
      <c r="M454" s="10" t="inlineStr"/>
    </row>
    <row r="455">
      <c r="A455" s="10" t="n">
        <v>30</v>
      </c>
      <c r="B455" s="10" t="inlineStr">
        <is>
          <t>SCORING (RINKSIDE, SCORE SCREEN, SCAN SHEET, OFFLINE)</t>
        </is>
      </c>
      <c r="C455" s="10" t="inlineStr">
        <is>
          <t>30.3</t>
        </is>
      </c>
      <c r="D455" s="10" t="inlineStr">
        <is>
          <t>Feature</t>
        </is>
      </c>
      <c r="E455" s="10" t="inlineStr"/>
      <c r="F455" s="10" t="inlineStr">
        <is>
          <t>Edit an existing score: replaces (not duplicates) the session.</t>
        </is>
      </c>
      <c r="G455" s="10" t="inlineStr"/>
      <c r="H455" s="10" t="inlineStr"/>
      <c r="I455" s="10" t="inlineStr"/>
      <c r="J455" s="10" t="inlineStr"/>
      <c r="K455" s="10" t="inlineStr"/>
      <c r="L455" s="10" t="inlineStr"/>
      <c r="M455" s="10" t="inlineStr"/>
    </row>
    <row r="456">
      <c r="A456" s="10" t="n">
        <v>30</v>
      </c>
      <c r="B456" s="10" t="inlineStr">
        <is>
          <t>SCORING (RINKSIDE, SCORE SCREEN, SCAN SHEET, OFFLINE)</t>
        </is>
      </c>
      <c r="C456" s="10" t="inlineStr">
        <is>
          <t>30.4</t>
        </is>
      </c>
      <c r="D456" s="10" t="inlineStr">
        <is>
          <t>Feature</t>
        </is>
      </c>
      <c r="E456" s="10" t="inlineStr"/>
      <c r="F456" s="10" t="inlineStr">
        <is>
          <t>Multiple assessors score the same player: blind scoring, each sees only their own; coach sees all.</t>
        </is>
      </c>
      <c r="G456" s="10" t="inlineStr"/>
      <c r="H456" s="10" t="inlineStr"/>
      <c r="I456" s="10" t="inlineStr"/>
      <c r="J456" s="10" t="inlineStr"/>
      <c r="K456" s="10" t="inlineStr"/>
      <c r="L456" s="10" t="inlineStr"/>
      <c r="M456" s="10" t="inlineStr"/>
    </row>
    <row r="457">
      <c r="A457" s="10" t="n">
        <v>30</v>
      </c>
      <c r="B457" s="10" t="inlineStr">
        <is>
          <t>SCORING (RINKSIDE, SCORE SCREEN, SCAN SHEET, OFFLINE)</t>
        </is>
      </c>
      <c r="C457" s="10" t="inlineStr">
        <is>
          <t>30.5</t>
        </is>
      </c>
      <c r="D457" s="10" t="inlineStr">
        <is>
          <t>Feature</t>
        </is>
      </c>
      <c r="E457" s="10" t="inlineStr"/>
      <c r="F457" s="10" t="inlineStr">
        <is>
          <t>Save timeout / no network: clear message, entered scores kept, retry works, no duplicate on retry.</t>
        </is>
      </c>
      <c r="G457" s="10" t="inlineStr"/>
      <c r="H457" s="10" t="inlineStr"/>
      <c r="I457" s="10" t="inlineStr"/>
      <c r="J457" s="10" t="inlineStr"/>
      <c r="K457" s="10" t="inlineStr"/>
      <c r="L457" s="10" t="inlineStr"/>
      <c r="M457" s="10" t="inlineStr"/>
    </row>
    <row r="458">
      <c r="A458" s="10" t="n">
        <v>30</v>
      </c>
      <c r="B458" s="10" t="inlineStr">
        <is>
          <t>SCORING (RINKSIDE, SCORE SCREEN, SCAN SHEET, OFFLINE)</t>
        </is>
      </c>
      <c r="C458" s="10" t="inlineStr">
        <is>
          <t>30.6</t>
        </is>
      </c>
      <c r="D458" s="10" t="inlineStr">
        <is>
          <t>Feature</t>
        </is>
      </c>
      <c r="E458" s="10" t="inlineStr"/>
      <c r="F458" s="10" t="inlineStr">
        <is>
          <t>Keyboard while typing notes: nothing hidden, Save reachable.</t>
        </is>
      </c>
      <c r="G458" s="10" t="inlineStr"/>
      <c r="H458" s="10" t="inlineStr"/>
      <c r="I458" s="10" t="inlineStr"/>
      <c r="J458" s="10" t="inlineStr"/>
      <c r="K458" s="10" t="inlineStr"/>
      <c r="L458" s="10" t="inlineStr"/>
      <c r="M458" s="10" t="inlineStr"/>
    </row>
    <row r="459">
      <c r="A459" s="10" t="n">
        <v>30</v>
      </c>
      <c r="B459" s="10" t="inlineStr">
        <is>
          <t>SCORING (RINKSIDE, SCORE SCREEN, SCAN SHEET, OFFLINE)</t>
        </is>
      </c>
      <c r="C459" s="10" t="inlineStr">
        <is>
          <t>30.7</t>
        </is>
      </c>
      <c r="D459" s="10" t="inlineStr">
        <is>
          <t>Feature</t>
        </is>
      </c>
      <c r="E459" s="10" t="inlineStr"/>
      <c r="F459" s="10" t="inlineStr">
        <is>
          <t>Scoring order/progress: "scored / total" count updates.</t>
        </is>
      </c>
      <c r="G459" s="10" t="inlineStr"/>
      <c r="H459" s="10" t="inlineStr"/>
      <c r="I459" s="10" t="inlineStr"/>
      <c r="J459" s="10" t="inlineStr"/>
      <c r="K459" s="10" t="inlineStr"/>
      <c r="L459" s="10" t="inlineStr"/>
      <c r="M459" s="10" t="inlineStr"/>
    </row>
    <row r="460">
      <c r="A460" s="10" t="n">
        <v>30</v>
      </c>
      <c r="B460" s="10" t="inlineStr">
        <is>
          <t>SCORING (RINKSIDE, SCORE SCREEN, SCAN SHEET, OFFLINE)</t>
        </is>
      </c>
      <c r="C460" s="10" t="inlineStr">
        <is>
          <t>30.8</t>
        </is>
      </c>
      <c r="D460" s="10" t="inlineStr">
        <is>
          <t>Feature</t>
        </is>
      </c>
      <c r="E460" s="10" t="inlineStr"/>
      <c r="F460" s="10" t="inlineStr">
        <is>
          <t>Assessor-only account: only assigned evaluation, no roster edit, no results of other assessors, no delete.</t>
        </is>
      </c>
      <c r="G460" s="10" t="inlineStr"/>
      <c r="H460" s="10" t="inlineStr"/>
      <c r="I460" s="10" t="inlineStr"/>
      <c r="J460" s="10" t="inlineStr"/>
      <c r="K460" s="10" t="inlineStr"/>
      <c r="L460" s="10" t="inlineStr"/>
      <c r="M460" s="10" t="inlineStr"/>
    </row>
    <row r="461">
      <c r="A461" s="10" t="n">
        <v>30</v>
      </c>
      <c r="B461" s="10" t="inlineStr">
        <is>
          <t>SCORING (RINKSIDE, SCORE SCREEN, SCAN SHEET, OFFLINE)</t>
        </is>
      </c>
      <c r="C461" s="10" t="inlineStr">
        <is>
          <t>30.9</t>
        </is>
      </c>
      <c r="D461" s="10" t="inlineStr">
        <is>
          <t>Feature</t>
        </is>
      </c>
      <c r="E461" s="10" t="inlineStr"/>
      <c r="F461" s="10" t="inlineStr">
        <is>
          <t>Scan sheet import for scores: mapping, confirm, applies.</t>
        </is>
      </c>
      <c r="G461" s="10" t="inlineStr"/>
      <c r="H461" s="10" t="inlineStr"/>
      <c r="I461" s="10" t="inlineStr"/>
      <c r="J461" s="10" t="inlineStr"/>
      <c r="K461" s="10" t="inlineStr"/>
      <c r="L461" s="10" t="inlineStr"/>
      <c r="M461" s="10" t="inlineStr"/>
    </row>
    <row r="462">
      <c r="A462" s="10" t="n">
        <v>30</v>
      </c>
      <c r="B462" s="10" t="inlineStr">
        <is>
          <t>SCORING (RINKSIDE, SCORE SCREEN, SCAN SHEET, OFFLINE)</t>
        </is>
      </c>
      <c r="C462" s="10" t="inlineStr">
        <is>
          <t>30.10</t>
        </is>
      </c>
      <c r="D462" s="10" t="inlineStr">
        <is>
          <t>Feature</t>
        </is>
      </c>
      <c r="E462" s="10" t="inlineStr"/>
      <c r="F462" s="10" t="inlineStr">
        <is>
          <t>Session progress (assessor) reflects players already scored.</t>
        </is>
      </c>
      <c r="G462" s="10" t="inlineStr"/>
      <c r="H462" s="10" t="inlineStr"/>
      <c r="I462" s="10" t="inlineStr"/>
      <c r="J462" s="10" t="inlineStr"/>
      <c r="K462" s="10" t="inlineStr"/>
      <c r="L462" s="10" t="inlineStr"/>
      <c r="M462" s="10" t="inlineStr"/>
    </row>
    <row r="463">
      <c r="A463" s="10" t="n">
        <v>31</v>
      </c>
      <c r="B463" s="10" t="inlineStr">
        <is>
          <t>RESULTS, RANKINGS, COMPARE, EXPORT</t>
        </is>
      </c>
      <c r="C463" s="10" t="inlineStr">
        <is>
          <t>31.1</t>
        </is>
      </c>
      <c r="D463" s="10" t="inlineStr">
        <is>
          <t>Feature</t>
        </is>
      </c>
      <c r="E463" s="10" t="inlineStr"/>
      <c r="F463" s="10" t="inlineStr">
        <is>
          <t>Results list ranks players by weighted overall; ties handled; unscored players last or hidden as designed; correct after a rubric weight change.</t>
        </is>
      </c>
      <c r="G463" s="10" t="inlineStr"/>
      <c r="H463" s="10" t="inlineStr"/>
      <c r="I463" s="10" t="inlineStr"/>
      <c r="J463" s="10" t="inlineStr"/>
      <c r="K463" s="10" t="inlineStr"/>
      <c r="L463" s="10" t="inlineStr"/>
      <c r="M463" s="10" t="inlineStr"/>
    </row>
    <row r="464">
      <c r="A464" s="10" t="n">
        <v>31</v>
      </c>
      <c r="B464" s="10" t="inlineStr">
        <is>
          <t>RESULTS, RANKINGS, COMPARE, EXPORT</t>
        </is>
      </c>
      <c r="C464" s="10" t="inlineStr">
        <is>
          <t>31.2</t>
        </is>
      </c>
      <c r="D464" s="10" t="inlineStr">
        <is>
          <t>Feature</t>
        </is>
      </c>
      <c r="E464" s="10" t="inlineStr"/>
      <c r="F464" s="10" t="inlineStr">
        <is>
          <t>Category scores per player match the raw entries.</t>
        </is>
      </c>
      <c r="G464" s="10" t="inlineStr"/>
      <c r="H464" s="10" t="inlineStr"/>
      <c r="I464" s="10" t="inlineStr"/>
      <c r="J464" s="10" t="inlineStr"/>
      <c r="K464" s="10" t="inlineStr"/>
      <c r="L464" s="10" t="inlineStr"/>
      <c r="M464" s="10" t="inlineStr"/>
    </row>
    <row r="465">
      <c r="A465" s="10" t="n">
        <v>31</v>
      </c>
      <c r="B465" s="10" t="inlineStr">
        <is>
          <t>RESULTS, RANKINGS, COMPARE, EXPORT</t>
        </is>
      </c>
      <c r="C465" s="10" t="inlineStr">
        <is>
          <t>31.3</t>
        </is>
      </c>
      <c r="D465" s="10" t="inlineStr">
        <is>
          <t>Feature</t>
        </is>
      </c>
      <c r="E465" s="10" t="inlineStr"/>
      <c r="F465" s="10" t="inlineStr">
        <is>
          <t>Compare: pick 2+ players, side-by-side categories, scores.</t>
        </is>
      </c>
      <c r="G465" s="10" t="inlineStr"/>
      <c r="H465" s="10" t="inlineStr"/>
      <c r="I465" s="10" t="inlineStr"/>
      <c r="J465" s="10" t="inlineStr"/>
      <c r="K465" s="10" t="inlineStr"/>
      <c r="L465" s="10" t="inlineStr"/>
      <c r="M465" s="10" t="inlineStr"/>
    </row>
    <row r="466">
      <c r="A466" s="10" t="n">
        <v>31</v>
      </c>
      <c r="B466" s="10" t="inlineStr">
        <is>
          <t>RESULTS, RANKINGS, COMPARE, EXPORT</t>
        </is>
      </c>
      <c r="C466" s="10" t="inlineStr">
        <is>
          <t>31.4</t>
        </is>
      </c>
      <c r="D466" s="10" t="inlineStr">
        <is>
          <t>Feature</t>
        </is>
      </c>
      <c r="E466" s="10" t="inlineStr"/>
      <c r="F466" s="10" t="inlineStr">
        <is>
          <t>AI summaries (Coach+): generate, saved, regenerate, error when offline; blocked on lower plans with upgrade prompt.</t>
        </is>
      </c>
      <c r="G466" s="10" t="inlineStr"/>
      <c r="H466" s="10" t="inlineStr"/>
      <c r="I466" s="10" t="inlineStr"/>
      <c r="J466" s="10" t="inlineStr"/>
      <c r="K466" s="10" t="inlineStr"/>
      <c r="L466" s="10" t="inlineStr"/>
      <c r="M466" s="10" t="inlineStr"/>
    </row>
    <row r="467">
      <c r="A467" s="10" t="n">
        <v>31</v>
      </c>
      <c r="B467" s="10" t="inlineStr">
        <is>
          <t>RESULTS, RANKINGS, COMPARE, EXPORT</t>
        </is>
      </c>
      <c r="C467" s="10" t="inlineStr">
        <is>
          <t>31.5</t>
        </is>
      </c>
      <c r="D467" s="10" t="inlineStr">
        <is>
          <t>Feature</t>
        </is>
      </c>
      <c r="E467" s="10" t="inlineStr"/>
      <c r="F467" s="10" t="inlineStr">
        <is>
          <t>Share links (Coach+): create, open in browser, revoke; guardian sees only their own player.</t>
        </is>
      </c>
      <c r="G467" s="10" t="inlineStr"/>
      <c r="H467" s="10" t="inlineStr"/>
      <c r="I467" s="10" t="inlineStr"/>
      <c r="J467" s="10" t="inlineStr"/>
      <c r="K467" s="10" t="inlineStr"/>
      <c r="L467" s="10" t="inlineStr"/>
      <c r="M467" s="10" t="inlineStr"/>
    </row>
    <row r="468">
      <c r="A468" s="10" t="n">
        <v>31</v>
      </c>
      <c r="B468" s="10" t="inlineStr">
        <is>
          <t>RESULTS, RANKINGS, COMPARE, EXPORT</t>
        </is>
      </c>
      <c r="C468" s="10" t="inlineStr">
        <is>
          <t>31.6</t>
        </is>
      </c>
      <c r="D468" s="10" t="inlineStr">
        <is>
          <t>Feature</t>
        </is>
      </c>
      <c r="E468" s="10" t="inlineStr"/>
      <c r="F468" s="10" t="inlineStr">
        <is>
          <t>Export screen: CSV (Coach+), PDF (Coach+), XLSX (Club); Free is blocked with upgrade prompt; file opens correctly.</t>
        </is>
      </c>
      <c r="G468" s="10" t="inlineStr"/>
      <c r="H468" s="10" t="inlineStr"/>
      <c r="I468" s="10" t="inlineStr"/>
      <c r="J468" s="10" t="inlineStr"/>
      <c r="K468" s="10" t="inlineStr"/>
      <c r="L468" s="10" t="inlineStr"/>
      <c r="M468" s="10" t="inlineStr"/>
    </row>
    <row r="469">
      <c r="A469" s="10" t="n">
        <v>31</v>
      </c>
      <c r="B469" s="10" t="inlineStr">
        <is>
          <t>RESULTS, RANKINGS, COMPARE, EXPORT</t>
        </is>
      </c>
      <c r="C469" s="10" t="inlineStr">
        <is>
          <t>31.7</t>
        </is>
      </c>
      <c r="D469" s="10" t="inlineStr">
        <is>
          <t>Feature</t>
        </is>
      </c>
      <c r="E469" s="10" t="inlineStr"/>
      <c r="F469" s="10" t="inlineStr">
        <is>
          <t>Exported numbers equal on-screen numbers; special characters and long names not broken.</t>
        </is>
      </c>
      <c r="G469" s="10" t="inlineStr"/>
      <c r="H469" s="10" t="inlineStr"/>
      <c r="I469" s="10" t="inlineStr"/>
      <c r="J469" s="10" t="inlineStr"/>
      <c r="K469" s="10" t="inlineStr"/>
      <c r="L469" s="10" t="inlineStr"/>
      <c r="M469" s="10" t="inlineStr"/>
    </row>
    <row r="470">
      <c r="A470" s="10" t="n">
        <v>31</v>
      </c>
      <c r="B470" s="10" t="inlineStr">
        <is>
          <t>RESULTS, RANKINGS, COMPARE, EXPORT</t>
        </is>
      </c>
      <c r="C470" s="10" t="inlineStr">
        <is>
          <t>31.8</t>
        </is>
      </c>
      <c r="D470" s="10" t="inlineStr">
        <is>
          <t>Feature</t>
        </is>
      </c>
      <c r="E470" s="10" t="inlineStr"/>
      <c r="F470" s="10" t="inlineStr">
        <is>
          <t>Results after deleting a player or a rubric: no crash, math OK.</t>
        </is>
      </c>
      <c r="G470" s="10" t="inlineStr"/>
      <c r="H470" s="10" t="inlineStr"/>
      <c r="I470" s="10" t="inlineStr"/>
      <c r="J470" s="10" t="inlineStr"/>
      <c r="K470" s="10" t="inlineStr"/>
      <c r="L470" s="10" t="inlineStr"/>
      <c r="M470" s="10" t="inlineStr"/>
    </row>
    <row r="471">
      <c r="A471" s="10" t="n">
        <v>31</v>
      </c>
      <c r="B471" s="10" t="inlineStr">
        <is>
          <t>RESULTS, RANKINGS, COMPARE, EXPORT</t>
        </is>
      </c>
      <c r="C471" s="10" t="inlineStr">
        <is>
          <t>31.9</t>
        </is>
      </c>
      <c r="D471" s="10" t="inlineStr">
        <is>
          <t>Feature</t>
        </is>
      </c>
      <c r="E471" s="10" t="inlineStr"/>
      <c r="F471" s="10" t="inlineStr">
        <is>
          <t>Combine results across 2+ evaluations: merged ranking correct.</t>
        </is>
      </c>
      <c r="G471" s="10" t="inlineStr"/>
      <c r="H471" s="10" t="inlineStr"/>
      <c r="I471" s="10" t="inlineStr"/>
      <c r="J471" s="10" t="inlineStr"/>
      <c r="K471" s="10" t="inlineStr"/>
      <c r="L471" s="10" t="inlineStr"/>
      <c r="M471" s="10" t="inlineStr"/>
    </row>
    <row r="472">
      <c r="A472" s="10" t="n">
        <v>32</v>
      </c>
      <c r="B472" s="10" t="inlineStr">
        <is>
          <t>TEAM BUILDER</t>
        </is>
      </c>
      <c r="C472" s="10" t="inlineStr">
        <is>
          <t>32.1</t>
        </is>
      </c>
      <c r="D472" s="10" t="inlineStr">
        <is>
          <t>Feature</t>
        </is>
      </c>
      <c r="E472" s="10" t="inlineStr"/>
      <c r="F472" s="10" t="inlineStr">
        <is>
          <t>Blocked on Free/Coach with upgrade prompt; opens on Coach+/Club (or on a delegated team using the owner's plan).</t>
        </is>
      </c>
      <c r="G472" s="10" t="inlineStr"/>
      <c r="H472" s="10" t="inlineStr"/>
      <c r="I472" s="10" t="inlineStr"/>
      <c r="J472" s="10" t="inlineStr"/>
      <c r="K472" s="10" t="inlineStr"/>
      <c r="L472" s="10" t="inlineStr"/>
      <c r="M472" s="10" t="inlineStr"/>
    </row>
    <row r="473">
      <c r="A473" s="10" t="n">
        <v>32</v>
      </c>
      <c r="B473" s="10" t="inlineStr">
        <is>
          <t>TEAM BUILDER</t>
        </is>
      </c>
      <c r="C473" s="10" t="inlineStr">
        <is>
          <t>32.2</t>
        </is>
      </c>
      <c r="D473" s="10" t="inlineStr">
        <is>
          <t>Feature</t>
        </is>
      </c>
      <c r="E473" s="10" t="inlineStr"/>
      <c r="F473" s="10" t="inlineStr">
        <is>
          <t>Generate with no prompt (deterministic) and with a prompt (AI): team count/size respected, goalies distributed, warnings shown when a team has too many goalies.</t>
        </is>
      </c>
      <c r="G473" s="10" t="inlineStr"/>
      <c r="H473" s="10" t="inlineStr"/>
      <c r="I473" s="10" t="inlineStr"/>
      <c r="J473" s="10" t="inlineStr"/>
      <c r="K473" s="10" t="inlineStr"/>
      <c r="L473" s="10" t="inlineStr"/>
      <c r="M473" s="10" t="inlineStr"/>
    </row>
    <row r="474">
      <c r="A474" s="10" t="n">
        <v>32</v>
      </c>
      <c r="B474" s="10" t="inlineStr">
        <is>
          <t>TEAM BUILDER</t>
        </is>
      </c>
      <c r="C474" s="10" t="inlineStr">
        <is>
          <t>32.3</t>
        </is>
      </c>
      <c r="D474" s="10" t="inlineStr">
        <is>
          <t>Feature</t>
        </is>
      </c>
      <c r="E474" s="10" t="inlineStr"/>
      <c r="F474" s="10" t="inlineStr">
        <is>
          <t>Friend packages: create/edit/delete; members stay together in a generated split; package beats registration friend names.</t>
        </is>
      </c>
      <c r="G474" s="10" t="inlineStr"/>
      <c r="H474" s="10" t="inlineStr"/>
      <c r="I474" s="10" t="inlineStr"/>
      <c r="J474" s="10" t="inlineStr"/>
      <c r="K474" s="10" t="inlineStr"/>
      <c r="L474" s="10" t="inlineStr"/>
      <c r="M474" s="10" t="inlineStr"/>
    </row>
    <row r="475">
      <c r="A475" s="10" t="n">
        <v>32</v>
      </c>
      <c r="B475" s="10" t="inlineStr">
        <is>
          <t>TEAM BUILDER</t>
        </is>
      </c>
      <c r="C475" s="10" t="inlineStr">
        <is>
          <t>32.4</t>
        </is>
      </c>
      <c r="D475" s="10" t="inlineStr">
        <is>
          <t>Feature</t>
        </is>
      </c>
      <c r="E475" s="10" t="inlineStr"/>
      <c r="F475" s="10" t="inlineStr">
        <is>
          <t>Adjust panel: drag (hold, then move), tap-to-move sheet, Undo, Redo, Done; team counts and averages update.</t>
        </is>
      </c>
      <c r="G475" s="10" t="inlineStr"/>
      <c r="H475" s="10" t="inlineStr"/>
      <c r="I475" s="10" t="inlineStr"/>
      <c r="J475" s="10" t="inlineStr"/>
      <c r="K475" s="10" t="inlineStr"/>
      <c r="L475" s="10" t="inlineStr"/>
      <c r="M475" s="10" t="inlineStr"/>
    </row>
    <row r="476">
      <c r="A476" s="10" t="n">
        <v>32</v>
      </c>
      <c r="B476" s="10" t="inlineStr">
        <is>
          <t>TEAM BUILDER</t>
        </is>
      </c>
      <c r="C476" s="10" t="inlineStr">
        <is>
          <t>32.5</t>
        </is>
      </c>
      <c r="D476" s="10" t="inlineStr">
        <is>
          <t>Feature</t>
        </is>
      </c>
      <c r="E476" s="10" t="inlineStr"/>
      <c r="F476" s="10" t="inlineStr">
        <is>
          <t>Save a split with a label; Saved Team Sets list, load, delete; "New" hides the live draft.</t>
        </is>
      </c>
      <c r="G476" s="10" t="inlineStr"/>
      <c r="H476" s="10" t="inlineStr"/>
      <c r="I476" s="10" t="inlineStr"/>
      <c r="J476" s="10" t="inlineStr"/>
      <c r="K476" s="10" t="inlineStr"/>
      <c r="L476" s="10" t="inlineStr"/>
      <c r="M476" s="10" t="inlineStr"/>
    </row>
    <row r="477">
      <c r="A477" s="10" t="n">
        <v>32</v>
      </c>
      <c r="B477" s="10" t="inlineStr">
        <is>
          <t>TEAM BUILDER</t>
        </is>
      </c>
      <c r="C477" s="10" t="inlineStr">
        <is>
          <t>32.6</t>
        </is>
      </c>
      <c r="D477" s="10" t="inlineStr">
        <is>
          <t>Feature</t>
        </is>
      </c>
      <c r="E477" s="10" t="inlineStr"/>
      <c r="F477" s="10" t="inlineStr">
        <is>
          <t>Export a split as XLSX/PDF; team detail screen export; file has the adjusted teams.</t>
        </is>
      </c>
      <c r="G477" s="10" t="inlineStr"/>
      <c r="H477" s="10" t="inlineStr"/>
      <c r="I477" s="10" t="inlineStr"/>
      <c r="J477" s="10" t="inlineStr"/>
      <c r="K477" s="10" t="inlineStr"/>
      <c r="L477" s="10" t="inlineStr"/>
      <c r="M477" s="10" t="inlineStr"/>
    </row>
    <row r="478">
      <c r="A478" s="10" t="n">
        <v>32</v>
      </c>
      <c r="B478" s="10" t="inlineStr">
        <is>
          <t>TEAM BUILDER</t>
        </is>
      </c>
      <c r="C478" s="10" t="inlineStr">
        <is>
          <t>32.7</t>
        </is>
      </c>
      <c r="D478" s="10" t="inlineStr">
        <is>
          <t>Feature</t>
        </is>
      </c>
      <c r="E478" s="10" t="inlineStr"/>
      <c r="F478" s="10" t="inlineStr">
        <is>
          <t>Regenerate replaces edits; no stale edits after switching sets.</t>
        </is>
      </c>
      <c r="G478" s="10" t="inlineStr"/>
      <c r="H478" s="10" t="inlineStr"/>
      <c r="I478" s="10" t="inlineStr"/>
      <c r="J478" s="10" t="inlineStr"/>
      <c r="K478" s="10" t="inlineStr"/>
      <c r="L478" s="10" t="inlineStr"/>
      <c r="M478" s="10" t="inlineStr"/>
    </row>
    <row r="479">
      <c r="A479" s="10" t="n">
        <v>32</v>
      </c>
      <c r="B479" s="10" t="inlineStr">
        <is>
          <t>TEAM BUILDER</t>
        </is>
      </c>
      <c r="C479" s="10" t="inlineStr">
        <is>
          <t>32.8</t>
        </is>
      </c>
      <c r="D479" s="10" t="inlineStr">
        <is>
          <t>Feature</t>
        </is>
      </c>
      <c r="E479" s="10" t="inlineStr"/>
      <c r="F479" s="10" t="inlineStr">
        <is>
          <t>Large roster (900+): generation completes, screen responsive.</t>
        </is>
      </c>
      <c r="G479" s="10" t="inlineStr"/>
      <c r="H479" s="10" t="inlineStr"/>
      <c r="I479" s="10" t="inlineStr"/>
      <c r="J479" s="10" t="inlineStr"/>
      <c r="K479" s="10" t="inlineStr"/>
      <c r="L479" s="10" t="inlineStr"/>
      <c r="M479" s="10" t="inlineStr"/>
    </row>
    <row r="480">
      <c r="A480" s="10" t="n">
        <v>33</v>
      </c>
      <c r="B480" s="10" t="inlineStr">
        <is>
          <t>PLAYER SELECTION LETTERS</t>
        </is>
      </c>
      <c r="C480" s="10" t="inlineStr">
        <is>
          <t>33.1</t>
        </is>
      </c>
      <c r="D480" s="10" t="inlineStr">
        <is>
          <t>Feature</t>
        </is>
      </c>
      <c r="E480" s="10" t="inlineStr"/>
      <c r="F480" s="10" t="inlineStr">
        <is>
          <t>Templates: create, edit, delete; standard Offer / Roster Decision starters; "Template saved" pill; same list in the evaluation and the team Options tab.</t>
        </is>
      </c>
      <c r="G480" s="10" t="inlineStr"/>
      <c r="H480" s="10" t="inlineStr"/>
      <c r="I480" s="10" t="inlineStr"/>
      <c r="J480" s="10" t="inlineStr"/>
      <c r="K480" s="10" t="inlineStr"/>
      <c r="L480" s="10" t="inlineStr"/>
      <c r="M480" s="10" t="inlineStr"/>
    </row>
    <row r="481">
      <c r="A481" s="10" t="n">
        <v>33</v>
      </c>
      <c r="B481" s="10" t="inlineStr">
        <is>
          <t>PLAYER SELECTION LETTERS</t>
        </is>
      </c>
      <c r="C481" s="10" t="inlineStr">
        <is>
          <t>33.2</t>
        </is>
      </c>
      <c r="D481" s="10" t="inlineStr">
        <is>
          <t>Feature</t>
        </is>
      </c>
      <c r="E481" s="10" t="inlineStr"/>
      <c r="F481" s="10" t="inlineStr">
        <is>
          <t>Placeholders insert and render: player, parent, team, feedback notes; unfilled tokens are flagged before sending.</t>
        </is>
      </c>
      <c r="G481" s="10" t="inlineStr"/>
      <c r="H481" s="10" t="inlineStr"/>
      <c r="I481" s="10" t="inlineStr"/>
      <c r="J481" s="10" t="inlineStr"/>
      <c r="K481" s="10" t="inlineStr"/>
      <c r="L481" s="10" t="inlineStr"/>
      <c r="M481" s="10" t="inlineStr"/>
    </row>
    <row r="482">
      <c r="A482" s="10" t="n">
        <v>33</v>
      </c>
      <c r="B482" s="10" t="inlineStr">
        <is>
          <t>PLAYER SELECTION LETTERS</t>
        </is>
      </c>
      <c r="C482" s="10" t="inlineStr">
        <is>
          <t>33.3</t>
        </is>
      </c>
      <c r="D482" s="10" t="inlineStr">
        <is>
          <t>Feature</t>
        </is>
      </c>
      <c r="E482" s="10" t="inlineStr"/>
      <c r="F482" s="10" t="inlineStr">
        <is>
          <t>Select players (search, select all), preview per player, send in bulk with progress; players with no email are reported failed.</t>
        </is>
      </c>
      <c r="G482" s="10" t="inlineStr"/>
      <c r="H482" s="10" t="inlineStr"/>
      <c r="I482" s="10" t="inlineStr"/>
      <c r="J482" s="10" t="inlineStr"/>
      <c r="K482" s="10" t="inlineStr"/>
      <c r="L482" s="10" t="inlineStr"/>
      <c r="M482" s="10" t="inlineStr"/>
    </row>
    <row r="483">
      <c r="A483" s="10" t="n">
        <v>33</v>
      </c>
      <c r="B483" s="10" t="inlineStr">
        <is>
          <t>PLAYER SELECTION LETTERS</t>
        </is>
      </c>
      <c r="C483" s="10" t="inlineStr">
        <is>
          <t>33.4</t>
        </is>
      </c>
      <c r="D483" s="10" t="inlineStr">
        <is>
          <t>Feature</t>
        </is>
      </c>
      <c r="E483" s="10" t="inlineStr"/>
      <c r="F483" s="10" t="inlineStr">
        <is>
          <t>Sent letters list: view, re-send, delete; copy appears on the player card.</t>
        </is>
      </c>
      <c r="G483" s="10" t="inlineStr"/>
      <c r="H483" s="10" t="inlineStr"/>
      <c r="I483" s="10" t="inlineStr"/>
      <c r="J483" s="10" t="inlineStr"/>
      <c r="K483" s="10" t="inlineStr"/>
      <c r="L483" s="10" t="inlineStr"/>
      <c r="M483" s="10" t="inlineStr"/>
    </row>
    <row r="484">
      <c r="A484" s="10" t="n">
        <v>33</v>
      </c>
      <c r="B484" s="10" t="inlineStr">
        <is>
          <t>PLAYER SELECTION LETTERS</t>
        </is>
      </c>
      <c r="C484" s="10" t="inlineStr">
        <is>
          <t>33.5</t>
        </is>
      </c>
      <c r="D484" s="10" t="inlineStr">
        <is>
          <t>Feature</t>
        </is>
      </c>
      <c r="E484" s="10" t="inlineStr"/>
      <c r="F484" s="10" t="inlineStr">
        <is>
          <t>Letter email arrives, professional formatting, correct subject and greeting for each recipient.</t>
        </is>
      </c>
      <c r="G484" s="10" t="inlineStr"/>
      <c r="H484" s="10" t="inlineStr"/>
      <c r="I484" s="10" t="inlineStr"/>
      <c r="J484" s="10" t="inlineStr"/>
      <c r="K484" s="10" t="inlineStr"/>
      <c r="L484" s="10" t="inlineStr"/>
      <c r="M484" s="10" t="inlineStr"/>
    </row>
    <row r="485">
      <c r="A485" s="10" t="n">
        <v>33</v>
      </c>
      <c r="B485" s="10" t="inlineStr">
        <is>
          <t>PLAYER SELECTION LETTERS</t>
        </is>
      </c>
      <c r="C485" s="10" t="inlineStr">
        <is>
          <t>33.6</t>
        </is>
      </c>
      <c r="D485" s="10" t="inlineStr">
        <is>
          <t>Feature</t>
        </is>
      </c>
      <c r="E485" s="10" t="inlineStr"/>
      <c r="F485" s="10" t="inlineStr">
        <is>
          <t>Deleting a template does not delete sent letters.</t>
        </is>
      </c>
      <c r="G485" s="10" t="inlineStr"/>
      <c r="H485" s="10" t="inlineStr"/>
      <c r="I485" s="10" t="inlineStr"/>
      <c r="J485" s="10" t="inlineStr"/>
      <c r="K485" s="10" t="inlineStr"/>
      <c r="L485" s="10" t="inlineStr"/>
      <c r="M485" s="10" t="inlineStr"/>
    </row>
    <row r="486">
      <c r="A486" s="10" t="n">
        <v>33</v>
      </c>
      <c r="B486" s="10" t="inlineStr">
        <is>
          <t>PLAYER SELECTION LETTERS</t>
        </is>
      </c>
      <c r="C486" s="10" t="inlineStr">
        <is>
          <t>33.7</t>
        </is>
      </c>
      <c r="D486" s="10" t="inlineStr">
        <is>
          <t>Feature</t>
        </is>
      </c>
      <c r="E486" s="10" t="inlineStr"/>
      <c r="F486" s="10" t="inlineStr">
        <is>
          <t>Keyboard does not hide the letter text on Android; long letters scroll (see section 17).</t>
        </is>
      </c>
      <c r="G486" s="10" t="inlineStr"/>
      <c r="H486" s="10" t="inlineStr"/>
      <c r="I486" s="10" t="inlineStr"/>
      <c r="J486" s="10" t="inlineStr"/>
      <c r="K486" s="10" t="inlineStr"/>
      <c r="L486" s="10" t="inlineStr"/>
      <c r="M486" s="10" t="inlineStr"/>
    </row>
    <row r="487">
      <c r="A487" s="10" t="n">
        <v>33</v>
      </c>
      <c r="B487" s="10" t="inlineStr">
        <is>
          <t>PLAYER SELECTION LETTERS</t>
        </is>
      </c>
      <c r="C487" s="10" t="inlineStr">
        <is>
          <t>33.8</t>
        </is>
      </c>
      <c r="D487" s="10" t="inlineStr">
        <is>
          <t>Feature</t>
        </is>
      </c>
      <c r="E487" s="10" t="inlineStr"/>
      <c r="F487" s="10" t="inlineStr">
        <is>
          <t>Coach only: assessor-only accounts do not see letters.</t>
        </is>
      </c>
      <c r="G487" s="10" t="inlineStr"/>
      <c r="H487" s="10" t="inlineStr"/>
      <c r="I487" s="10" t="inlineStr"/>
      <c r="J487" s="10" t="inlineStr"/>
      <c r="K487" s="10" t="inlineStr"/>
      <c r="L487" s="10" t="inlineStr"/>
      <c r="M487" s="10" t="inlineStr"/>
    </row>
    <row r="488">
      <c r="A488" s="10" t="n">
        <v>34</v>
      </c>
      <c r="B488" s="10" t="inlineStr">
        <is>
          <t>ROLES AND PERMISSIONS MATRIX</t>
        </is>
      </c>
      <c r="C488" s="10" t="inlineStr">
        <is>
          <t>34.1</t>
        </is>
      </c>
      <c r="D488" s="10" t="inlineStr">
        <is>
          <t>Feature</t>
        </is>
      </c>
      <c r="E488" s="10" t="inlineStr"/>
      <c r="F488" s="10" t="inlineStr">
        <is>
          <t>Owner/admin/coach (account staff): everything on own account.</t>
        </is>
      </c>
      <c r="G488" s="10" t="inlineStr"/>
      <c r="H488" s="10" t="inlineStr"/>
      <c r="I488" s="10" t="inlineStr"/>
      <c r="J488" s="10" t="inlineStr"/>
      <c r="K488" s="10" t="inlineStr"/>
      <c r="L488" s="10" t="inlineStr"/>
      <c r="M488" s="10" t="inlineStr"/>
    </row>
    <row r="489">
      <c r="A489" s="10" t="n">
        <v>34</v>
      </c>
      <c r="B489" s="10" t="inlineStr">
        <is>
          <t>ROLES AND PERMISSIONS MATRIX</t>
        </is>
      </c>
      <c r="C489" s="10" t="inlineStr">
        <is>
          <t>34.2</t>
        </is>
      </c>
      <c r="D489" s="10" t="inlineStr">
        <is>
          <t>Feature</t>
        </is>
      </c>
      <c r="E489" s="10" t="inlineStr"/>
      <c r="F489" s="10" t="inlineStr">
        <is>
          <t>Delegated team manager: that team's roster, schedule, chat, players, options, AND its evaluations (owner's plan); not other teams, billing, organization, or delete team.</t>
        </is>
      </c>
      <c r="G489" s="10" t="inlineStr"/>
      <c r="H489" s="10" t="inlineStr"/>
      <c r="I489" s="10" t="inlineStr"/>
      <c r="J489" s="10" t="inlineStr"/>
      <c r="K489" s="10" t="inlineStr"/>
      <c r="L489" s="10" t="inlineStr"/>
      <c r="M489" s="10" t="inlineStr"/>
    </row>
    <row r="490">
      <c r="A490" s="10" t="n">
        <v>34</v>
      </c>
      <c r="B490" s="10" t="inlineStr">
        <is>
          <t>ROLES AND PERMISSIONS MATRIX</t>
        </is>
      </c>
      <c r="C490" s="10" t="inlineStr">
        <is>
          <t>34.3</t>
        </is>
      </c>
      <c r="D490" s="10" t="inlineStr">
        <is>
          <t>Feature</t>
        </is>
      </c>
      <c r="E490" s="10" t="inlineStr"/>
      <c r="F490" s="10" t="inlineStr">
        <is>
          <t>Assessor-only: only assigned evaluation(s); scoring only.</t>
        </is>
      </c>
      <c r="G490" s="10" t="inlineStr"/>
      <c r="H490" s="10" t="inlineStr"/>
      <c r="I490" s="10" t="inlineStr"/>
      <c r="J490" s="10" t="inlineStr"/>
      <c r="K490" s="10" t="inlineStr"/>
      <c r="L490" s="10" t="inlineStr"/>
      <c r="M490" s="10" t="inlineStr"/>
    </row>
    <row r="491">
      <c r="A491" s="10" t="n">
        <v>34</v>
      </c>
      <c r="B491" s="10" t="inlineStr">
        <is>
          <t>ROLES AND PERMISSIONS MATRIX</t>
        </is>
      </c>
      <c r="C491" s="10" t="inlineStr">
        <is>
          <t>34.4</t>
        </is>
      </c>
      <c r="D491" s="10" t="inlineStr">
        <is>
          <t>Feature</t>
        </is>
      </c>
      <c r="E491" s="10" t="inlineStr"/>
      <c r="F491" s="10" t="inlineStr">
        <is>
          <t>Guardian-only: My Athletes, their child's schedule/RSVP, chat, letters, share links; no coach screens, no bottom Teams tab.</t>
        </is>
      </c>
      <c r="G491" s="10" t="inlineStr"/>
      <c r="H491" s="10" t="inlineStr"/>
      <c r="I491" s="10" t="inlineStr"/>
      <c r="J491" s="10" t="inlineStr"/>
      <c r="K491" s="10" t="inlineStr"/>
      <c r="L491" s="10" t="inlineStr"/>
      <c r="M491" s="10" t="inlineStr"/>
    </row>
    <row r="492">
      <c r="A492" s="10" t="n">
        <v>34</v>
      </c>
      <c r="B492" s="10" t="inlineStr">
        <is>
          <t>ROLES AND PERMISSIONS MATRIX</t>
        </is>
      </c>
      <c r="C492" s="10" t="inlineStr">
        <is>
          <t>34.5</t>
        </is>
      </c>
      <c r="D492" s="10" t="inlineStr">
        <is>
          <t>Feature</t>
        </is>
      </c>
      <c r="E492" s="10" t="inlineStr"/>
      <c r="F492" s="10" t="inlineStr">
        <is>
          <t>Direct URL / deep link to a screen the role cannot open: blocked or redirected, no data leak.</t>
        </is>
      </c>
      <c r="G492" s="10" t="inlineStr"/>
      <c r="H492" s="10" t="inlineStr"/>
      <c r="I492" s="10" t="inlineStr"/>
      <c r="J492" s="10" t="inlineStr"/>
      <c r="K492" s="10" t="inlineStr"/>
      <c r="L492" s="10" t="inlineStr"/>
      <c r="M492" s="10" t="inlineStr"/>
    </row>
    <row r="493">
      <c r="A493" s="10" t="n">
        <v>34</v>
      </c>
      <c r="B493" s="10" t="inlineStr">
        <is>
          <t>ROLES AND PERMISSIONS MATRIX</t>
        </is>
      </c>
      <c r="C493" s="10" t="inlineStr">
        <is>
          <t>34.6</t>
        </is>
      </c>
      <c r="D493" s="10" t="inlineStr">
        <is>
          <t>Feature</t>
        </is>
      </c>
      <c r="E493" s="10" t="inlineStr"/>
      <c r="F493" s="10" t="inlineStr">
        <is>
          <t>Removing someone's access takes effect after refresh/next open.</t>
        </is>
      </c>
      <c r="G493" s="10" t="inlineStr"/>
      <c r="H493" s="10" t="inlineStr"/>
      <c r="I493" s="10" t="inlineStr"/>
      <c r="J493" s="10" t="inlineStr"/>
      <c r="K493" s="10" t="inlineStr"/>
      <c r="L493" s="10" t="inlineStr"/>
      <c r="M493" s="10" t="inlineStr"/>
    </row>
    <row r="494">
      <c r="A494" s="10" t="n">
        <v>34</v>
      </c>
      <c r="B494" s="10" t="inlineStr">
        <is>
          <t>ROLES AND PERMISSIONS MATRIX</t>
        </is>
      </c>
      <c r="C494" s="10" t="inlineStr">
        <is>
          <t>34.7</t>
        </is>
      </c>
      <c r="D494" s="10" t="inlineStr">
        <is>
          <t>Feature</t>
        </is>
      </c>
      <c r="E494" s="10" t="inlineStr"/>
      <c r="F494" s="10" t="inlineStr">
        <is>
          <t>RLS spot checks with ids from another account: read and write both refused.</t>
        </is>
      </c>
      <c r="G494" s="10" t="inlineStr"/>
      <c r="H494" s="10" t="inlineStr"/>
      <c r="I494" s="10" t="inlineStr"/>
      <c r="J494" s="10" t="inlineStr"/>
      <c r="K494" s="10" t="inlineStr"/>
      <c r="L494" s="10" t="inlineStr"/>
      <c r="M494" s="10" t="inlineStr"/>
    </row>
    <row r="495">
      <c r="A495" s="10" t="n">
        <v>35</v>
      </c>
      <c r="B495" s="10" t="inlineStr">
        <is>
          <t>TEAM: CREATE, EDIT, DELETE</t>
        </is>
      </c>
      <c r="C495" s="10" t="inlineStr">
        <is>
          <t>35.1</t>
        </is>
      </c>
      <c r="D495" s="10" t="inlineStr">
        <is>
          <t>Feature</t>
        </is>
      </c>
      <c r="E495" s="10" t="inlineStr"/>
      <c r="F495" s="10" t="inlineStr">
        <is>
          <t>New Team: name required; season (optional); logo upload; team colour (18 swatches incl. None); creates and lands on Options.</t>
        </is>
      </c>
      <c r="G495" s="10" t="inlineStr"/>
      <c r="H495" s="10" t="inlineStr"/>
      <c r="I495" s="10" t="inlineStr"/>
      <c r="J495" s="10" t="inlineStr"/>
      <c r="K495" s="10" t="inlineStr"/>
      <c r="L495" s="10" t="inlineStr"/>
      <c r="M495" s="10" t="inlineStr"/>
    </row>
    <row r="496">
      <c r="A496" s="10" t="n">
        <v>35</v>
      </c>
      <c r="B496" s="10" t="inlineStr">
        <is>
          <t>TEAM: CREATE, EDIT, DELETE</t>
        </is>
      </c>
      <c r="C496" s="10" t="inlineStr">
        <is>
          <t>35.2</t>
        </is>
      </c>
      <c r="D496" s="10" t="inlineStr">
        <is>
          <t>Feature</t>
        </is>
      </c>
      <c r="E496" s="10" t="inlineStr"/>
      <c r="F496" s="10" t="inlineStr">
        <is>
          <t>Invite a manager at creation (email): manager gets access; new email gets an account + sign-in details.</t>
        </is>
      </c>
      <c r="G496" s="10" t="inlineStr"/>
      <c r="H496" s="10" t="inlineStr"/>
      <c r="I496" s="10" t="inlineStr"/>
      <c r="J496" s="10" t="inlineStr"/>
      <c r="K496" s="10" t="inlineStr"/>
      <c r="L496" s="10" t="inlineStr"/>
      <c r="M496" s="10" t="inlineStr"/>
    </row>
    <row r="497">
      <c r="A497" s="10" t="n">
        <v>35</v>
      </c>
      <c r="B497" s="10" t="inlineStr">
        <is>
          <t>TEAM: CREATE, EDIT, DELETE</t>
        </is>
      </c>
      <c r="C497" s="10" t="inlineStr">
        <is>
          <t>35.3</t>
        </is>
      </c>
      <c r="D497" s="10" t="inlineStr">
        <is>
          <t>Feature</t>
        </is>
      </c>
      <c r="E497" s="10" t="inlineStr"/>
      <c r="F497" s="10" t="inlineStr">
        <is>
          <t>"Are you collecting fees?" No/Yes: Yes asks for a fee amount and needs Stripe Connect set up (see 43).</t>
        </is>
      </c>
      <c r="G497" s="10" t="inlineStr"/>
      <c r="H497" s="10" t="inlineStr"/>
      <c r="I497" s="10" t="inlineStr"/>
      <c r="J497" s="10" t="inlineStr"/>
      <c r="K497" s="10" t="inlineStr"/>
      <c r="L497" s="10" t="inlineStr"/>
      <c r="M497" s="10" t="inlineStr"/>
    </row>
    <row r="498">
      <c r="A498" s="10" t="n">
        <v>35</v>
      </c>
      <c r="B498" s="10" t="inlineStr">
        <is>
          <t>TEAM: CREATE, EDIT, DELETE</t>
        </is>
      </c>
      <c r="C498" s="10" t="inlineStr">
        <is>
          <t>35.4</t>
        </is>
      </c>
      <c r="D498" s="10" t="inlineStr">
        <is>
          <t>Feature</t>
        </is>
      </c>
      <c r="E498" s="10" t="inlineStr"/>
      <c r="F498" s="10" t="inlineStr">
        <is>
          <t>Team limit: Free 1, Coach 1, Coach+ 2, Club 6 (+ extra licenses) message when exceeded; managed teams do not count.</t>
        </is>
      </c>
      <c r="G498" s="10" t="inlineStr"/>
      <c r="H498" s="10" t="inlineStr"/>
      <c r="I498" s="10" t="inlineStr"/>
      <c r="J498" s="10" t="inlineStr"/>
      <c r="K498" s="10" t="inlineStr"/>
      <c r="L498" s="10" t="inlineStr"/>
      <c r="M498" s="10" t="inlineStr"/>
    </row>
    <row r="499">
      <c r="A499" s="10" t="n">
        <v>35</v>
      </c>
      <c r="B499" s="10" t="inlineStr">
        <is>
          <t>TEAM: CREATE, EDIT, DELETE</t>
        </is>
      </c>
      <c r="C499" s="10" t="inlineStr">
        <is>
          <t>35.5</t>
        </is>
      </c>
      <c r="D499" s="10" t="inlineStr">
        <is>
          <t>Feature</t>
        </is>
      </c>
      <c r="E499" s="10" t="inlineStr"/>
      <c r="F499" s="10" t="inlineStr">
        <is>
          <t>Edit team: name, season, logo, colour, fees; header/branded background update immediately everywhere.</t>
        </is>
      </c>
      <c r="G499" s="10" t="inlineStr"/>
      <c r="H499" s="10" t="inlineStr"/>
      <c r="I499" s="10" t="inlineStr"/>
      <c r="J499" s="10" t="inlineStr"/>
      <c r="K499" s="10" t="inlineStr"/>
      <c r="L499" s="10" t="inlineStr"/>
      <c r="M499" s="10" t="inlineStr"/>
    </row>
    <row r="500">
      <c r="A500" s="10" t="n">
        <v>35</v>
      </c>
      <c r="B500" s="10" t="inlineStr">
        <is>
          <t>TEAM: CREATE, EDIT, DELETE</t>
        </is>
      </c>
      <c r="C500" s="10" t="inlineStr">
        <is>
          <t>35.6</t>
        </is>
      </c>
      <c r="D500" s="10" t="inlineStr">
        <is>
          <t>Feature</t>
        </is>
      </c>
      <c r="E500" s="10" t="inlineStr"/>
      <c r="F500" s="10" t="inlineStr">
        <is>
          <t>Header reads "&lt;Team&gt; Hub"; tabs Schedule / Players / Evaluations / Options with correct badges.</t>
        </is>
      </c>
      <c r="G500" s="10" t="inlineStr"/>
      <c r="H500" s="10" t="inlineStr"/>
      <c r="I500" s="10" t="inlineStr"/>
      <c r="J500" s="10" t="inlineStr"/>
      <c r="K500" s="10" t="inlineStr"/>
      <c r="L500" s="10" t="inlineStr"/>
      <c r="M500" s="10" t="inlineStr"/>
    </row>
    <row r="501">
      <c r="A501" s="10" t="n">
        <v>35</v>
      </c>
      <c r="B501" s="10" t="inlineStr">
        <is>
          <t>TEAM: CREATE, EDIT, DELETE</t>
        </is>
      </c>
      <c r="C501" s="10" t="inlineStr">
        <is>
          <t>35.7</t>
        </is>
      </c>
      <c r="D501" s="10" t="inlineStr">
        <is>
          <t>Feature</t>
        </is>
      </c>
      <c r="E501" s="10" t="inlineStr"/>
      <c r="F501" s="10" t="inlineStr">
        <is>
          <t>Delete Team (Danger Zone): confirmation; team, roster, schedule removed; linked evaluations detach (decide where they go); athletes remain on their evaluations.</t>
        </is>
      </c>
      <c r="G501" s="10" t="inlineStr"/>
      <c r="H501" s="10" t="inlineStr"/>
      <c r="I501" s="10" t="inlineStr"/>
      <c r="J501" s="10" t="inlineStr"/>
      <c r="K501" s="10" t="inlineStr"/>
      <c r="L501" s="10" t="inlineStr"/>
      <c r="M501" s="10" t="inlineStr"/>
    </row>
    <row r="502">
      <c r="A502" s="10" t="n">
        <v>35</v>
      </c>
      <c r="B502" s="10" t="inlineStr">
        <is>
          <t>TEAM: CREATE, EDIT, DELETE</t>
        </is>
      </c>
      <c r="C502" s="10" t="inlineStr">
        <is>
          <t>35.8</t>
        </is>
      </c>
      <c r="D502" s="10" t="inlineStr">
        <is>
          <t>Feature</t>
        </is>
      </c>
      <c r="E502" s="10" t="inlineStr"/>
      <c r="F502" s="10" t="inlineStr">
        <is>
          <t>Testing tools (Dummy Data / Clear Dummy Teams) create and remove only generated teams.</t>
        </is>
      </c>
      <c r="G502" s="10" t="inlineStr"/>
      <c r="H502" s="10" t="inlineStr"/>
      <c r="I502" s="10" t="inlineStr"/>
      <c r="J502" s="10" t="inlineStr"/>
      <c r="K502" s="10" t="inlineStr"/>
      <c r="L502" s="10" t="inlineStr"/>
      <c r="M502" s="10" t="inlineStr"/>
    </row>
    <row r="503">
      <c r="A503" s="10" t="n">
        <v>35</v>
      </c>
      <c r="B503" s="10" t="inlineStr">
        <is>
          <t>TEAM: CREATE, EDIT, DELETE</t>
        </is>
      </c>
      <c r="C503" s="10" t="inlineStr">
        <is>
          <t>35.9</t>
        </is>
      </c>
      <c r="D503" s="10" t="inlineStr">
        <is>
          <t>Feature</t>
        </is>
      </c>
      <c r="E503" s="10" t="inlineStr"/>
      <c r="F503" s="10" t="inlineStr">
        <is>
          <t>New Team form: Create button and Testing Tools reachable on Android (3-button, gesture) and iPhone.</t>
        </is>
      </c>
      <c r="G503" s="10" t="inlineStr"/>
      <c r="H503" s="10" t="inlineStr"/>
      <c r="I503" s="10" t="inlineStr"/>
      <c r="J503" s="10" t="inlineStr"/>
      <c r="K503" s="10" t="inlineStr"/>
      <c r="L503" s="10" t="inlineStr"/>
      <c r="M503" s="10" t="inlineStr"/>
    </row>
    <row r="504">
      <c r="A504" s="10" t="n">
        <v>36</v>
      </c>
      <c r="B504" s="10" t="inlineStr">
        <is>
          <t>TEAM SCHEDULE, EVENTS, RSVP, CALENDAR</t>
        </is>
      </c>
      <c r="C504" s="10" t="inlineStr">
        <is>
          <t>36.1</t>
        </is>
      </c>
      <c r="D504" s="10" t="inlineStr">
        <is>
          <t>Feature</t>
        </is>
      </c>
      <c r="E504" s="10" t="inlineStr"/>
      <c r="F504" s="10" t="inlineStr">
        <is>
          <t>+ Event: type (Practice/Game/Event...), title, date, optional end date, start/end time, location, notes; saved and listed by upcoming/past.</t>
        </is>
      </c>
      <c r="G504" s="10" t="inlineStr"/>
      <c r="H504" s="10" t="inlineStr"/>
      <c r="I504" s="10" t="inlineStr"/>
      <c r="J504" s="10" t="inlineStr"/>
      <c r="K504" s="10" t="inlineStr"/>
      <c r="L504" s="10" t="inlineStr"/>
      <c r="M504" s="10" t="inlineStr"/>
    </row>
    <row r="505">
      <c r="A505" s="10" t="n">
        <v>36</v>
      </c>
      <c r="B505" s="10" t="inlineStr">
        <is>
          <t>TEAM SCHEDULE, EVENTS, RSVP, CALENDAR</t>
        </is>
      </c>
      <c r="C505" s="10" t="inlineStr">
        <is>
          <t>36.2</t>
        </is>
      </c>
      <c r="D505" s="10" t="inlineStr">
        <is>
          <t>Feature</t>
        </is>
      </c>
      <c r="E505" s="10" t="inlineStr"/>
      <c r="F505" s="10" t="inlineStr">
        <is>
          <t>Validation: title required; date format; end date on/after date; end time after start; past date/time blocked; errors shown inline.</t>
        </is>
      </c>
      <c r="G505" s="10" t="inlineStr"/>
      <c r="H505" s="10" t="inlineStr"/>
      <c r="I505" s="10" t="inlineStr"/>
      <c r="J505" s="10" t="inlineStr"/>
      <c r="K505" s="10" t="inlineStr"/>
      <c r="L505" s="10" t="inlineStr"/>
      <c r="M505" s="10" t="inlineStr"/>
    </row>
    <row r="506">
      <c r="A506" s="10" t="n">
        <v>36</v>
      </c>
      <c r="B506" s="10" t="inlineStr">
        <is>
          <t>TEAM SCHEDULE, EVENTS, RSVP, CALENDAR</t>
        </is>
      </c>
      <c r="C506" s="10" t="inlineStr">
        <is>
          <t>36.3</t>
        </is>
      </c>
      <c r="D506" s="10" t="inlineStr">
        <is>
          <t>Feature</t>
        </is>
      </c>
      <c r="E506" s="10" t="inlineStr"/>
      <c r="F506" s="10" t="inlineStr">
        <is>
          <t>Everyone on the roster invited by default; choose specific players; invite emails/push go out.</t>
        </is>
      </c>
      <c r="G506" s="10" t="inlineStr"/>
      <c r="H506" s="10" t="inlineStr"/>
      <c r="I506" s="10" t="inlineStr"/>
      <c r="J506" s="10" t="inlineStr"/>
      <c r="K506" s="10" t="inlineStr"/>
      <c r="L506" s="10" t="inlineStr"/>
      <c r="M506" s="10" t="inlineStr"/>
    </row>
    <row r="507">
      <c r="A507" s="10" t="n">
        <v>36</v>
      </c>
      <c r="B507" s="10" t="inlineStr">
        <is>
          <t>TEAM SCHEDULE, EVENTS, RSVP, CALENDAR</t>
        </is>
      </c>
      <c r="C507" s="10" t="inlineStr">
        <is>
          <t>36.4</t>
        </is>
      </c>
      <c r="D507" s="10" t="inlineStr">
        <is>
          <t>Feature</t>
        </is>
      </c>
      <c r="E507" s="10" t="inlineStr"/>
      <c r="F507" s="10" t="inlineStr">
        <is>
          <t>Edit an event (all fields); delete an event with confirmation; RSVPs of a deleted event disappear.</t>
        </is>
      </c>
      <c r="G507" s="10" t="inlineStr"/>
      <c r="H507" s="10" t="inlineStr"/>
      <c r="I507" s="10" t="inlineStr"/>
      <c r="J507" s="10" t="inlineStr"/>
      <c r="K507" s="10" t="inlineStr"/>
      <c r="L507" s="10" t="inlineStr"/>
      <c r="M507" s="10" t="inlineStr"/>
    </row>
    <row r="508">
      <c r="A508" s="10" t="n">
        <v>36</v>
      </c>
      <c r="B508" s="10" t="inlineStr">
        <is>
          <t>TEAM SCHEDULE, EVENTS, RSVP, CALENDAR</t>
        </is>
      </c>
      <c r="C508" s="10" t="inlineStr">
        <is>
          <t>36.5</t>
        </is>
      </c>
      <c r="D508" s="10" t="inlineStr">
        <is>
          <t>Feature</t>
        </is>
      </c>
      <c r="E508" s="10" t="inlineStr"/>
      <c r="F508" s="10" t="inlineStr">
        <is>
          <t>RSVP tallies Yes / Maybe / No / Pending expand into names; coach can set a player's answer; guardian can answer for their child.</t>
        </is>
      </c>
      <c r="G508" s="10" t="inlineStr"/>
      <c r="H508" s="10" t="inlineStr"/>
      <c r="I508" s="10" t="inlineStr"/>
      <c r="J508" s="10" t="inlineStr"/>
      <c r="K508" s="10" t="inlineStr"/>
      <c r="L508" s="10" t="inlineStr"/>
      <c r="M508" s="10" t="inlineStr"/>
    </row>
    <row r="509">
      <c r="A509" s="10" t="n">
        <v>36</v>
      </c>
      <c r="B509" s="10" t="inlineStr">
        <is>
          <t>TEAM SCHEDULE, EVENTS, RSVP, CALENDAR</t>
        </is>
      </c>
      <c r="C509" s="10" t="inlineStr">
        <is>
          <t>36.6</t>
        </is>
      </c>
      <c r="D509" s="10" t="inlineStr">
        <is>
          <t>Feature</t>
        </is>
      </c>
      <c r="E509" s="10" t="inlineStr"/>
      <c r="F509" s="10" t="inlineStr">
        <is>
          <t>Add to calendar (device calendar / ICS link) works on iPhone and Android; times and timezone correct.</t>
        </is>
      </c>
      <c r="G509" s="10" t="inlineStr"/>
      <c r="H509" s="10" t="inlineStr"/>
      <c r="I509" s="10" t="inlineStr"/>
      <c r="J509" s="10" t="inlineStr"/>
      <c r="K509" s="10" t="inlineStr"/>
      <c r="L509" s="10" t="inlineStr"/>
      <c r="M509" s="10" t="inlineStr"/>
    </row>
    <row r="510">
      <c r="A510" s="10" t="n">
        <v>36</v>
      </c>
      <c r="B510" s="10" t="inlineStr">
        <is>
          <t>TEAM SCHEDULE, EVENTS, RSVP, CALENDAR</t>
        </is>
      </c>
      <c r="C510" s="10" t="inlineStr">
        <is>
          <t>36.7</t>
        </is>
      </c>
      <c r="D510" s="10" t="inlineStr">
        <is>
          <t>Feature</t>
        </is>
      </c>
      <c r="E510" s="10" t="inlineStr"/>
      <c r="F510" s="10" t="inlineStr">
        <is>
          <t>Map link from location opens maps.</t>
        </is>
      </c>
      <c r="G510" s="10" t="inlineStr"/>
      <c r="H510" s="10" t="inlineStr"/>
      <c r="I510" s="10" t="inlineStr"/>
      <c r="J510" s="10" t="inlineStr"/>
      <c r="K510" s="10" t="inlineStr"/>
      <c r="L510" s="10" t="inlineStr"/>
      <c r="M510" s="10" t="inlineStr"/>
    </row>
    <row r="511">
      <c r="A511" s="10" t="n">
        <v>36</v>
      </c>
      <c r="B511" s="10" t="inlineStr">
        <is>
          <t>TEAM SCHEDULE, EVENTS, RSVP, CALENDAR</t>
        </is>
      </c>
      <c r="C511" s="10" t="inlineStr">
        <is>
          <t>36.8</t>
        </is>
      </c>
      <c r="D511" s="10" t="inlineStr">
        <is>
          <t>Feature</t>
        </is>
      </c>
      <c r="E511" s="10" t="inlineStr"/>
      <c r="F511" s="10" t="inlineStr">
        <is>
          <t>Schedule updates notify guardians (push/email) once.</t>
        </is>
      </c>
      <c r="G511" s="10" t="inlineStr"/>
      <c r="H511" s="10" t="inlineStr"/>
      <c r="I511" s="10" t="inlineStr"/>
      <c r="J511" s="10" t="inlineStr"/>
      <c r="K511" s="10" t="inlineStr"/>
      <c r="L511" s="10" t="inlineStr"/>
      <c r="M511" s="10" t="inlineStr"/>
    </row>
    <row r="512">
      <c r="A512" s="10" t="n">
        <v>36</v>
      </c>
      <c r="B512" s="10" t="inlineStr">
        <is>
          <t>TEAM SCHEDULE, EVENTS, RSVP, CALENDAR</t>
        </is>
      </c>
      <c r="C512" s="10" t="inlineStr">
        <is>
          <t>36.9</t>
        </is>
      </c>
      <c r="D512" s="10" t="inlineStr">
        <is>
          <t>Feature</t>
        </is>
      </c>
      <c r="E512" s="10" t="inlineStr"/>
      <c r="F512" s="10" t="inlineStr">
        <is>
          <t>Attendance and availability screens: mark attendance, totals.</t>
        </is>
      </c>
      <c r="G512" s="10" t="inlineStr"/>
      <c r="H512" s="10" t="inlineStr"/>
      <c r="I512" s="10" t="inlineStr"/>
      <c r="J512" s="10" t="inlineStr"/>
      <c r="K512" s="10" t="inlineStr"/>
      <c r="L512" s="10" t="inlineStr"/>
      <c r="M512" s="10" t="inlineStr"/>
    </row>
    <row r="513">
      <c r="A513" s="10" t="n">
        <v>36</v>
      </c>
      <c r="B513" s="10" t="inlineStr">
        <is>
          <t>TEAM SCHEDULE, EVENTS, RSVP, CALENDAR</t>
        </is>
      </c>
      <c r="C513" s="10" t="inlineStr">
        <is>
          <t>36.10</t>
        </is>
      </c>
      <c r="D513" s="10" t="inlineStr">
        <is>
          <t>Feature</t>
        </is>
      </c>
      <c r="E513" s="10" t="inlineStr"/>
      <c r="F513" s="10" t="inlineStr">
        <is>
          <t>Calendar view: month navigation, events on correct days.</t>
        </is>
      </c>
      <c r="G513" s="10" t="inlineStr"/>
      <c r="H513" s="10" t="inlineStr"/>
      <c r="I513" s="10" t="inlineStr"/>
      <c r="J513" s="10" t="inlineStr"/>
      <c r="K513" s="10" t="inlineStr"/>
      <c r="L513" s="10" t="inlineStr"/>
      <c r="M513" s="10" t="inlineStr"/>
    </row>
    <row r="514">
      <c r="A514" s="10" t="n">
        <v>37</v>
      </c>
      <c r="B514" s="10" t="inlineStr">
        <is>
          <t>TEAM PLAYERS</t>
        </is>
      </c>
      <c r="C514" s="10" t="inlineStr">
        <is>
          <t>37.1</t>
        </is>
      </c>
      <c r="D514" s="10" t="inlineStr">
        <is>
          <t>Feature</t>
        </is>
      </c>
      <c r="E514" s="10" t="inlineStr"/>
      <c r="F514" s="10" t="inlineStr">
        <is>
          <t>Players tab: paged list (50), "Load more", server-side search, Remove per row with confirmation; smooth at 999 players.</t>
        </is>
      </c>
      <c r="G514" s="10" t="inlineStr"/>
      <c r="H514" s="10" t="inlineStr"/>
      <c r="I514" s="10" t="inlineStr"/>
      <c r="J514" s="10" t="inlineStr"/>
      <c r="K514" s="10" t="inlineStr"/>
      <c r="L514" s="10" t="inlineStr"/>
      <c r="M514" s="10" t="inlineStr"/>
    </row>
    <row r="515">
      <c r="A515" s="10" t="n">
        <v>37</v>
      </c>
      <c r="B515" s="10" t="inlineStr">
        <is>
          <t>TEAM PLAYERS</t>
        </is>
      </c>
      <c r="C515" s="10" t="inlineStr">
        <is>
          <t>37.2</t>
        </is>
      </c>
      <c r="D515" s="10" t="inlineStr">
        <is>
          <t>Feature</t>
        </is>
      </c>
      <c r="E515" s="10" t="inlineStr"/>
      <c r="F515" s="10" t="inlineStr">
        <is>
          <t>Add Players from Evaluations: search, evaluation filter chips, Select all (filtered only), "On Team" rows disabled; limit message; invites go out once.</t>
        </is>
      </c>
      <c r="G515" s="10" t="inlineStr"/>
      <c r="H515" s="10" t="inlineStr"/>
      <c r="I515" s="10" t="inlineStr"/>
      <c r="J515" s="10" t="inlineStr"/>
      <c r="K515" s="10" t="inlineStr"/>
      <c r="L515" s="10" t="inlineStr"/>
      <c r="M515" s="10" t="inlineStr"/>
    </row>
    <row r="516">
      <c r="A516" s="10" t="n">
        <v>37</v>
      </c>
      <c r="B516" s="10" t="inlineStr">
        <is>
          <t>TEAM PLAYERS</t>
        </is>
      </c>
      <c r="C516" s="10" t="inlineStr">
        <is>
          <t>37.3</t>
        </is>
      </c>
      <c r="D516" s="10" t="inlineStr">
        <is>
          <t>Feature</t>
        </is>
      </c>
      <c r="E516" s="10" t="inlineStr"/>
      <c r="F516" s="10" t="inlineStr">
        <is>
          <t>+ Add Player Manually and Import Spreadsheet (sections 2-3).</t>
        </is>
      </c>
      <c r="G516" s="10" t="inlineStr"/>
      <c r="H516" s="10" t="inlineStr"/>
      <c r="I516" s="10" t="inlineStr"/>
      <c r="J516" s="10" t="inlineStr"/>
      <c r="K516" s="10" t="inlineStr"/>
      <c r="L516" s="10" t="inlineStr"/>
      <c r="M516" s="10" t="inlineStr"/>
    </row>
    <row r="517">
      <c r="A517" s="10" t="n">
        <v>37</v>
      </c>
      <c r="B517" s="10" t="inlineStr">
        <is>
          <t>TEAM PLAYERS</t>
        </is>
      </c>
      <c r="C517" s="10" t="inlineStr">
        <is>
          <t>37.4</t>
        </is>
      </c>
      <c r="D517" s="10" t="inlineStr">
        <is>
          <t>Feature</t>
        </is>
      </c>
      <c r="E517" s="10" t="inlineStr"/>
      <c r="F517" s="10" t="inlineStr">
        <is>
          <t>Select mode: Select All (whole team or filtered search), delete confirmation, counts, badge update.</t>
        </is>
      </c>
      <c r="G517" s="10" t="inlineStr"/>
      <c r="H517" s="10" t="inlineStr"/>
      <c r="I517" s="10" t="inlineStr"/>
      <c r="J517" s="10" t="inlineStr"/>
      <c r="K517" s="10" t="inlineStr"/>
      <c r="L517" s="10" t="inlineStr"/>
      <c r="M517" s="10" t="inlineStr"/>
    </row>
    <row r="518">
      <c r="A518" s="10" t="n">
        <v>37</v>
      </c>
      <c r="B518" s="10" t="inlineStr">
        <is>
          <t>TEAM PLAYERS</t>
        </is>
      </c>
      <c r="C518" s="10" t="inlineStr">
        <is>
          <t>37.5</t>
        </is>
      </c>
      <c r="D518" s="10" t="inlineStr">
        <is>
          <t>Feature</t>
        </is>
      </c>
      <c r="E518" s="10" t="inlineStr"/>
      <c r="F518" s="10" t="inlineStr">
        <is>
          <t>Send Invites (whole roster) and per-player invite: report of sent / failed / no email; no duplicates.</t>
        </is>
      </c>
      <c r="G518" s="10" t="inlineStr"/>
      <c r="H518" s="10" t="inlineStr"/>
      <c r="I518" s="10" t="inlineStr"/>
      <c r="J518" s="10" t="inlineStr"/>
      <c r="K518" s="10" t="inlineStr"/>
      <c r="L518" s="10" t="inlineStr"/>
      <c r="M518" s="10" t="inlineStr"/>
    </row>
    <row r="519">
      <c r="A519" s="10" t="n">
        <v>37</v>
      </c>
      <c r="B519" s="10" t="inlineStr">
        <is>
          <t>TEAM PLAYERS</t>
        </is>
      </c>
      <c r="C519" s="10" t="inlineStr">
        <is>
          <t>37.6</t>
        </is>
      </c>
      <c r="D519" s="10" t="inlineStr">
        <is>
          <t>Feature</t>
        </is>
      </c>
      <c r="E519" s="10" t="inlineStr"/>
      <c r="F519" s="10" t="inlineStr">
        <is>
          <t>Player card: jersey, position, guardian block with "Account Linked / Not Linked", fee status, edit, photo, medical info only for permitted roles.</t>
        </is>
      </c>
      <c r="G519" s="10" t="inlineStr"/>
      <c r="H519" s="10" t="inlineStr"/>
      <c r="I519" s="10" t="inlineStr"/>
      <c r="J519" s="10" t="inlineStr"/>
      <c r="K519" s="10" t="inlineStr"/>
      <c r="L519" s="10" t="inlineStr"/>
      <c r="M519" s="10" t="inlineStr"/>
    </row>
    <row r="520">
      <c r="A520" s="10" t="n">
        <v>37</v>
      </c>
      <c r="B520" s="10" t="inlineStr">
        <is>
          <t>TEAM PLAYERS</t>
        </is>
      </c>
      <c r="C520" s="10" t="inlineStr">
        <is>
          <t>37.7</t>
        </is>
      </c>
      <c r="D520" s="10" t="inlineStr">
        <is>
          <t>Feature</t>
        </is>
      </c>
      <c r="E520" s="10" t="inlineStr"/>
      <c r="F520" s="10" t="inlineStr">
        <is>
          <t>Fee status (paid / unpaid / waived) shown and editable for fee teams; matches Stripe.</t>
        </is>
      </c>
      <c r="G520" s="10" t="inlineStr"/>
      <c r="H520" s="10" t="inlineStr"/>
      <c r="I520" s="10" t="inlineStr"/>
      <c r="J520" s="10" t="inlineStr"/>
      <c r="K520" s="10" t="inlineStr"/>
      <c r="L520" s="10" t="inlineStr"/>
      <c r="M520" s="10" t="inlineStr"/>
    </row>
    <row r="521">
      <c r="A521" s="10" t="n">
        <v>37</v>
      </c>
      <c r="B521" s="10" t="inlineStr">
        <is>
          <t>TEAM PLAYERS</t>
        </is>
      </c>
      <c r="C521" s="10" t="inlineStr">
        <is>
          <t>37.8</t>
        </is>
      </c>
      <c r="D521" s="10" t="inlineStr">
        <is>
          <t>Feature</t>
        </is>
      </c>
      <c r="E521" s="10" t="inlineStr"/>
      <c r="F521" s="10" t="inlineStr">
        <is>
          <t>Adding a player to a team with a season syncs the season roster (schedule/RSVP appear for that player).</t>
        </is>
      </c>
      <c r="G521" s="10" t="inlineStr"/>
      <c r="H521" s="10" t="inlineStr"/>
      <c r="I521" s="10" t="inlineStr"/>
      <c r="J521" s="10" t="inlineStr"/>
      <c r="K521" s="10" t="inlineStr"/>
      <c r="L521" s="10" t="inlineStr"/>
      <c r="M521" s="10" t="inlineStr"/>
    </row>
    <row r="522">
      <c r="A522" s="10" t="n">
        <v>37</v>
      </c>
      <c r="B522" s="10" t="inlineStr">
        <is>
          <t>TEAM PLAYERS</t>
        </is>
      </c>
      <c r="C522" s="10" t="inlineStr">
        <is>
          <t>37.9</t>
        </is>
      </c>
      <c r="D522" s="10" t="inlineStr">
        <is>
          <t>Feature</t>
        </is>
      </c>
      <c r="E522" s="10" t="inlineStr"/>
      <c r="F522" s="10" t="inlineStr">
        <is>
          <t>Removing a player removes them from schedule RSVPs, not from their evaluations.</t>
        </is>
      </c>
      <c r="G522" s="10" t="inlineStr"/>
      <c r="H522" s="10" t="inlineStr"/>
      <c r="I522" s="10" t="inlineStr"/>
      <c r="J522" s="10" t="inlineStr"/>
      <c r="K522" s="10" t="inlineStr"/>
      <c r="L522" s="10" t="inlineStr"/>
      <c r="M522" s="10" t="inlineStr"/>
    </row>
    <row r="523">
      <c r="A523" s="10" t="n">
        <v>38</v>
      </c>
      <c r="B523" s="10" t="inlineStr">
        <is>
          <t>TEAM OPTIONS TAB</t>
        </is>
      </c>
      <c r="C523" s="10" t="inlineStr">
        <is>
          <t>38.1</t>
        </is>
      </c>
      <c r="D523" s="10" t="inlineStr">
        <is>
          <t>Feature</t>
        </is>
      </c>
      <c r="E523" s="10" t="inlineStr"/>
      <c r="F523" s="10" t="inlineStr">
        <is>
          <t>Team Managers card: invite by email (Coach+ and up), list managers, remove; new/existing account; role wording.</t>
        </is>
      </c>
      <c r="G523" s="10" t="inlineStr"/>
      <c r="H523" s="10" t="inlineStr"/>
      <c r="I523" s="10" t="inlineStr"/>
      <c r="J523" s="10" t="inlineStr"/>
      <c r="K523" s="10" t="inlineStr"/>
      <c r="L523" s="10" t="inlineStr"/>
      <c r="M523" s="10" t="inlineStr"/>
    </row>
    <row r="524">
      <c r="A524" s="10" t="n">
        <v>38</v>
      </c>
      <c r="B524" s="10" t="inlineStr">
        <is>
          <t>TEAM OPTIONS TAB</t>
        </is>
      </c>
      <c r="C524" s="10" t="inlineStr">
        <is>
          <t>38.2</t>
        </is>
      </c>
      <c r="D524" s="10" t="inlineStr">
        <is>
          <t>Feature</t>
        </is>
      </c>
      <c r="E524" s="10" t="inlineStr"/>
      <c r="F524" s="10" t="inlineStr">
        <is>
          <t>Export Team: Excel and PDF of the full roster, no medical info (section 15).</t>
        </is>
      </c>
      <c r="G524" s="10" t="inlineStr"/>
      <c r="H524" s="10" t="inlineStr"/>
      <c r="I524" s="10" t="inlineStr"/>
      <c r="J524" s="10" t="inlineStr"/>
      <c r="K524" s="10" t="inlineStr"/>
      <c r="L524" s="10" t="inlineStr"/>
      <c r="M524" s="10" t="inlineStr"/>
    </row>
    <row r="525">
      <c r="A525" s="10" t="n">
        <v>38</v>
      </c>
      <c r="B525" s="10" t="inlineStr">
        <is>
          <t>TEAM OPTIONS TAB</t>
        </is>
      </c>
      <c r="C525" s="10" t="inlineStr">
        <is>
          <t>38.3</t>
        </is>
      </c>
      <c r="D525" s="10" t="inlineStr">
        <is>
          <t>Feature</t>
        </is>
      </c>
      <c r="E525" s="10" t="inlineStr"/>
      <c r="F525" s="10" t="inlineStr">
        <is>
          <t>Player Selection Letters: template list/edit/new/delete in place; Send letters lists the team's evaluations.</t>
        </is>
      </c>
      <c r="G525" s="10" t="inlineStr"/>
      <c r="H525" s="10" t="inlineStr"/>
      <c r="I525" s="10" t="inlineStr"/>
      <c r="J525" s="10" t="inlineStr"/>
      <c r="K525" s="10" t="inlineStr"/>
      <c r="L525" s="10" t="inlineStr"/>
      <c r="M525" s="10" t="inlineStr"/>
    </row>
    <row r="526">
      <c r="A526" s="10" t="n">
        <v>38</v>
      </c>
      <c r="B526" s="10" t="inlineStr">
        <is>
          <t>TEAM OPTIONS TAB</t>
        </is>
      </c>
      <c r="C526" s="10" t="inlineStr">
        <is>
          <t>38.4</t>
        </is>
      </c>
      <c r="D526" s="10" t="inlineStr">
        <is>
          <t>Feature</t>
        </is>
      </c>
      <c r="E526" s="10" t="inlineStr"/>
      <c r="F526" s="10" t="inlineStr">
        <is>
          <t>Dummy Data: add/clear players on the team.</t>
        </is>
      </c>
      <c r="G526" s="10" t="inlineStr"/>
      <c r="H526" s="10" t="inlineStr"/>
      <c r="I526" s="10" t="inlineStr"/>
      <c r="J526" s="10" t="inlineStr"/>
      <c r="K526" s="10" t="inlineStr"/>
      <c r="L526" s="10" t="inlineStr"/>
      <c r="M526" s="10" t="inlineStr"/>
    </row>
    <row r="527">
      <c r="A527" s="10" t="n">
        <v>38</v>
      </c>
      <c r="B527" s="10" t="inlineStr">
        <is>
          <t>TEAM OPTIONS TAB</t>
        </is>
      </c>
      <c r="C527" s="10" t="inlineStr">
        <is>
          <t>38.5</t>
        </is>
      </c>
      <c r="D527" s="10" t="inlineStr">
        <is>
          <t>Feature</t>
        </is>
      </c>
      <c r="E527" s="10" t="inlineStr"/>
      <c r="F527" s="10" t="inlineStr">
        <is>
          <t>Danger Zone: Delete Team visible to owner only.</t>
        </is>
      </c>
      <c r="G527" s="10" t="inlineStr"/>
      <c r="H527" s="10" t="inlineStr"/>
      <c r="I527" s="10" t="inlineStr"/>
      <c r="J527" s="10" t="inlineStr"/>
      <c r="K527" s="10" t="inlineStr"/>
      <c r="L527" s="10" t="inlineStr"/>
      <c r="M527" s="10" t="inlineStr"/>
    </row>
    <row r="528">
      <c r="A528" s="10" t="n">
        <v>39</v>
      </c>
      <c r="B528" s="10" t="inlineStr">
        <is>
          <t>SEASON HUB SCREENS</t>
        </is>
      </c>
      <c r="C528" s="10" t="inlineStr">
        <is>
          <t>39.1</t>
        </is>
      </c>
      <c r="D528" s="10" t="inlineStr">
        <is>
          <t>Feature</t>
        </is>
      </c>
      <c r="E528" s="10" t="inlineStr"/>
      <c r="F528" s="10" t="inlineStr">
        <is>
          <t>Create a season (new.tsx) with name, dates, roster from the team or evaluation; season appears in the team.</t>
        </is>
      </c>
      <c r="G528" s="10" t="inlineStr"/>
      <c r="H528" s="10" t="inlineStr"/>
      <c r="I528" s="10" t="inlineStr"/>
      <c r="J528" s="10" t="inlineStr"/>
      <c r="K528" s="10" t="inlineStr"/>
      <c r="L528" s="10" t="inlineStr"/>
      <c r="M528" s="10" t="inlineStr"/>
    </row>
    <row r="529">
      <c r="A529" s="10" t="n">
        <v>39</v>
      </c>
      <c r="B529" s="10" t="inlineStr">
        <is>
          <t>SEASON HUB SCREENS</t>
        </is>
      </c>
      <c r="C529" s="10" t="inlineStr">
        <is>
          <t>39.2</t>
        </is>
      </c>
      <c r="D529" s="10" t="inlineStr">
        <is>
          <t>Feature</t>
        </is>
      </c>
      <c r="E529" s="10" t="inlineStr"/>
      <c r="F529" s="10" t="inlineStr">
        <is>
          <t>Season index: overview cards, next event, roster count.</t>
        </is>
      </c>
      <c r="G529" s="10" t="inlineStr"/>
      <c r="H529" s="10" t="inlineStr"/>
      <c r="I529" s="10" t="inlineStr"/>
      <c r="J529" s="10" t="inlineStr"/>
      <c r="K529" s="10" t="inlineStr"/>
      <c r="L529" s="10" t="inlineStr"/>
      <c r="M529" s="10" t="inlineStr"/>
    </row>
    <row r="530">
      <c r="A530" s="10" t="n">
        <v>39</v>
      </c>
      <c r="B530" s="10" t="inlineStr">
        <is>
          <t>SEASON HUB SCREENS</t>
        </is>
      </c>
      <c r="C530" s="10" t="inlineStr">
        <is>
          <t>39.3</t>
        </is>
      </c>
      <c r="D530" s="10" t="inlineStr">
        <is>
          <t>Feature</t>
        </is>
      </c>
      <c r="E530" s="10" t="inlineStr"/>
      <c r="F530" s="10" t="inlineStr">
        <is>
          <t>Season roster: fee status, sign-ups, invites, payments.</t>
        </is>
      </c>
      <c r="G530" s="10" t="inlineStr"/>
      <c r="H530" s="10" t="inlineStr"/>
      <c r="I530" s="10" t="inlineStr"/>
      <c r="J530" s="10" t="inlineStr"/>
      <c r="K530" s="10" t="inlineStr"/>
      <c r="L530" s="10" t="inlineStr"/>
      <c r="M530" s="10" t="inlineStr"/>
    </row>
    <row r="531">
      <c r="A531" s="10" t="n">
        <v>39</v>
      </c>
      <c r="B531" s="10" t="inlineStr">
        <is>
          <t>SEASON HUB SCREENS</t>
        </is>
      </c>
      <c r="C531" s="10" t="inlineStr">
        <is>
          <t>39.4</t>
        </is>
      </c>
      <c r="D531" s="10" t="inlineStr">
        <is>
          <t>Feature</t>
        </is>
      </c>
      <c r="E531" s="10" t="inlineStr"/>
      <c r="F531" s="10" t="inlineStr">
        <is>
          <t>Season player card: contact, availability history.</t>
        </is>
      </c>
      <c r="G531" s="10" t="inlineStr"/>
      <c r="H531" s="10" t="inlineStr"/>
      <c r="I531" s="10" t="inlineStr"/>
      <c r="J531" s="10" t="inlineStr"/>
      <c r="K531" s="10" t="inlineStr"/>
      <c r="L531" s="10" t="inlineStr"/>
      <c r="M531" s="10" t="inlineStr"/>
    </row>
    <row r="532">
      <c r="A532" s="10" t="n">
        <v>39</v>
      </c>
      <c r="B532" s="10" t="inlineStr">
        <is>
          <t>SEASON HUB SCREENS</t>
        </is>
      </c>
      <c r="C532" s="10" t="inlineStr">
        <is>
          <t>39.5</t>
        </is>
      </c>
      <c r="D532" s="10" t="inlineStr">
        <is>
          <t>Feature</t>
        </is>
      </c>
      <c r="E532" s="10" t="inlineStr"/>
      <c r="F532" s="10" t="inlineStr">
        <is>
          <t>Season settings: edit/archive/delete the season; Save/Delete buttons visible on Android nav bar.</t>
        </is>
      </c>
      <c r="G532" s="10" t="inlineStr"/>
      <c r="H532" s="10" t="inlineStr"/>
      <c r="I532" s="10" t="inlineStr"/>
      <c r="J532" s="10" t="inlineStr"/>
      <c r="K532" s="10" t="inlineStr"/>
      <c r="L532" s="10" t="inlineStr"/>
      <c r="M532" s="10" t="inlineStr"/>
    </row>
    <row r="533">
      <c r="A533" s="10" t="n">
        <v>39</v>
      </c>
      <c r="B533" s="10" t="inlineStr">
        <is>
          <t>SEASON HUB SCREENS</t>
        </is>
      </c>
      <c r="C533" s="10" t="inlineStr">
        <is>
          <t>39.6</t>
        </is>
      </c>
      <c r="D533" s="10" t="inlineStr">
        <is>
          <t>Feature</t>
        </is>
      </c>
      <c r="E533" s="10" t="inlineStr"/>
      <c r="F533" s="10" t="inlineStr">
        <is>
          <t>Availability, attendance, calendar screens load with correct counts and no cross-team data.</t>
        </is>
      </c>
      <c r="G533" s="10" t="inlineStr"/>
      <c r="H533" s="10" t="inlineStr"/>
      <c r="I533" s="10" t="inlineStr"/>
      <c r="J533" s="10" t="inlineStr"/>
      <c r="K533" s="10" t="inlineStr"/>
      <c r="L533" s="10" t="inlineStr"/>
      <c r="M533" s="10" t="inlineStr"/>
    </row>
    <row r="534">
      <c r="A534" s="10" t="n">
        <v>39</v>
      </c>
      <c r="B534" s="10" t="inlineStr">
        <is>
          <t>SEASON HUB SCREENS</t>
        </is>
      </c>
      <c r="C534" s="10" t="inlineStr">
        <is>
          <t>39.7</t>
        </is>
      </c>
      <c r="D534" s="10" t="inlineStr">
        <is>
          <t>Feature</t>
        </is>
      </c>
      <c r="E534" s="10" t="inlineStr"/>
      <c r="F534" s="10" t="inlineStr">
        <is>
          <t>Plan gate: Season Hub blocked on Free.</t>
        </is>
      </c>
      <c r="G534" s="10" t="inlineStr"/>
      <c r="H534" s="10" t="inlineStr"/>
      <c r="I534" s="10" t="inlineStr"/>
      <c r="J534" s="10" t="inlineStr"/>
      <c r="K534" s="10" t="inlineStr"/>
      <c r="L534" s="10" t="inlineStr"/>
      <c r="M534" s="10" t="inlineStr"/>
    </row>
    <row r="535">
      <c r="A535" s="10" t="n">
        <v>40</v>
      </c>
      <c r="B535" s="10" t="inlineStr">
        <is>
          <t>TEAM CHAT</t>
        </is>
      </c>
      <c r="C535" s="10" t="inlineStr">
        <is>
          <t>40.1</t>
        </is>
      </c>
      <c r="D535" s="10" t="inlineStr">
        <is>
          <t>Feature</t>
        </is>
      </c>
      <c r="E535" s="10" t="inlineStr"/>
      <c r="F535" s="10" t="inlineStr">
        <is>
          <t>Team chat opens from the team header; unread badge count on the header and the chat list.</t>
        </is>
      </c>
      <c r="G535" s="10" t="inlineStr"/>
      <c r="H535" s="10" t="inlineStr"/>
      <c r="I535" s="10" t="inlineStr"/>
      <c r="J535" s="10" t="inlineStr"/>
      <c r="K535" s="10" t="inlineStr"/>
      <c r="L535" s="10" t="inlineStr"/>
      <c r="M535" s="10" t="inlineStr"/>
    </row>
    <row r="536">
      <c r="A536" s="10" t="n">
        <v>40</v>
      </c>
      <c r="B536" s="10" t="inlineStr">
        <is>
          <t>TEAM CHAT</t>
        </is>
      </c>
      <c r="C536" s="10" t="inlineStr">
        <is>
          <t>40.2</t>
        </is>
      </c>
      <c r="D536" s="10" t="inlineStr">
        <is>
          <t>Feature</t>
        </is>
      </c>
      <c r="E536" s="10" t="inlineStr"/>
      <c r="F536" s="10" t="inlineStr">
        <is>
          <t>Send a message: appears instantly for sender, arrives for other members in real time and by push when the app is closed.</t>
        </is>
      </c>
      <c r="G536" s="10" t="inlineStr"/>
      <c r="H536" s="10" t="inlineStr"/>
      <c r="I536" s="10" t="inlineStr"/>
      <c r="J536" s="10" t="inlineStr"/>
      <c r="K536" s="10" t="inlineStr"/>
      <c r="L536" s="10" t="inlineStr"/>
      <c r="M536" s="10" t="inlineStr"/>
    </row>
    <row r="537">
      <c r="A537" s="10" t="n">
        <v>40</v>
      </c>
      <c r="B537" s="10" t="inlineStr">
        <is>
          <t>TEAM CHAT</t>
        </is>
      </c>
      <c r="C537" s="10" t="inlineStr">
        <is>
          <t>40.3</t>
        </is>
      </c>
      <c r="D537" s="10" t="inlineStr">
        <is>
          <t>Feature</t>
        </is>
      </c>
      <c r="E537" s="10" t="inlineStr"/>
      <c r="F537" s="10" t="inlineStr">
        <is>
          <t>Keyboard: input bar stays above the keyboard on Android and iPhone; long threads scroll; messages not hidden by the nav bar.</t>
        </is>
      </c>
      <c r="G537" s="10" t="inlineStr"/>
      <c r="H537" s="10" t="inlineStr"/>
      <c r="I537" s="10" t="inlineStr"/>
      <c r="J537" s="10" t="inlineStr"/>
      <c r="K537" s="10" t="inlineStr"/>
      <c r="L537" s="10" t="inlineStr"/>
      <c r="M537" s="10" t="inlineStr"/>
    </row>
    <row r="538">
      <c r="A538" s="10" t="n">
        <v>40</v>
      </c>
      <c r="B538" s="10" t="inlineStr">
        <is>
          <t>TEAM CHAT</t>
        </is>
      </c>
      <c r="C538" s="10" t="inlineStr">
        <is>
          <t>40.4</t>
        </is>
      </c>
      <c r="D538" s="10" t="inlineStr">
        <is>
          <t>Feature</t>
        </is>
      </c>
      <c r="E538" s="10" t="inlineStr"/>
      <c r="F538" s="10" t="inlineStr">
        <is>
          <t>Members: manager and guardians can post; someone removed from the team loses access.</t>
        </is>
      </c>
      <c r="G538" s="10" t="inlineStr"/>
      <c r="H538" s="10" t="inlineStr"/>
      <c r="I538" s="10" t="inlineStr"/>
      <c r="J538" s="10" t="inlineStr"/>
      <c r="K538" s="10" t="inlineStr"/>
      <c r="L538" s="10" t="inlineStr"/>
      <c r="M538" s="10" t="inlineStr"/>
    </row>
    <row r="539">
      <c r="A539" s="10" t="n">
        <v>40</v>
      </c>
      <c r="B539" s="10" t="inlineStr">
        <is>
          <t>TEAM CHAT</t>
        </is>
      </c>
      <c r="C539" s="10" t="inlineStr">
        <is>
          <t>40.5</t>
        </is>
      </c>
      <c r="D539" s="10" t="inlineStr">
        <is>
          <t>Feature</t>
        </is>
      </c>
      <c r="E539" s="10" t="inlineStr"/>
      <c r="F539" s="10" t="inlineStr">
        <is>
          <t>Multiple teams: chat picker ("Choose a Team") opens the right thread; unread counts per team.</t>
        </is>
      </c>
      <c r="G539" s="10" t="inlineStr"/>
      <c r="H539" s="10" t="inlineStr"/>
      <c r="I539" s="10" t="inlineStr"/>
      <c r="J539" s="10" t="inlineStr"/>
      <c r="K539" s="10" t="inlineStr"/>
      <c r="L539" s="10" t="inlineStr"/>
      <c r="M539" s="10" t="inlineStr"/>
    </row>
    <row r="540">
      <c r="A540" s="10" t="n">
        <v>40</v>
      </c>
      <c r="B540" s="10" t="inlineStr">
        <is>
          <t>TEAM CHAT</t>
        </is>
      </c>
      <c r="C540" s="10" t="inlineStr">
        <is>
          <t>40.6</t>
        </is>
      </c>
      <c r="D540" s="10" t="inlineStr">
        <is>
          <t>Feature</t>
        </is>
      </c>
      <c r="E540" s="10" t="inlineStr"/>
      <c r="F540" s="10" t="inlineStr">
        <is>
          <t>Special characters, emoji, long messages, links.</t>
        </is>
      </c>
      <c r="G540" s="10" t="inlineStr"/>
      <c r="H540" s="10" t="inlineStr"/>
      <c r="I540" s="10" t="inlineStr"/>
      <c r="J540" s="10" t="inlineStr"/>
      <c r="K540" s="10" t="inlineStr"/>
      <c r="L540" s="10" t="inlineStr"/>
      <c r="M540" s="10" t="inlineStr"/>
    </row>
    <row r="541">
      <c r="A541" s="10" t="n">
        <v>41</v>
      </c>
      <c r="B541" s="10" t="inlineStr">
        <is>
          <t>GUARDIAN PORTAL</t>
        </is>
      </c>
      <c r="C541" s="10" t="inlineStr">
        <is>
          <t>41.1</t>
        </is>
      </c>
      <c r="D541" s="10" t="inlineStr">
        <is>
          <t>Feature</t>
        </is>
      </c>
      <c r="E541" s="10" t="inlineStr"/>
      <c r="F541" s="10" t="inlineStr">
        <is>
          <t>Invite email (from team Send Invites, player card, evaluation player card): guardian receives it, account created/linked.</t>
        </is>
      </c>
      <c r="G541" s="10" t="inlineStr"/>
      <c r="H541" s="10" t="inlineStr"/>
      <c r="I541" s="10" t="inlineStr"/>
      <c r="J541" s="10" t="inlineStr"/>
      <c r="K541" s="10" t="inlineStr"/>
      <c r="L541" s="10" t="inlineStr"/>
      <c r="M541" s="10" t="inlineStr"/>
    </row>
    <row r="542">
      <c r="A542" s="10" t="n">
        <v>41</v>
      </c>
      <c r="B542" s="10" t="inlineStr">
        <is>
          <t>GUARDIAN PORTAL</t>
        </is>
      </c>
      <c r="C542" s="10" t="inlineStr">
        <is>
          <t>41.2</t>
        </is>
      </c>
      <c r="D542" s="10" t="inlineStr">
        <is>
          <t>Feature</t>
        </is>
      </c>
      <c r="E542" s="10" t="inlineStr"/>
      <c r="F542" s="10" t="inlineStr">
        <is>
          <t>Guardian home: My Athletes cards with seasons; child profile with Overview / Schedule / Info tabs.</t>
        </is>
      </c>
      <c r="G542" s="10" t="inlineStr"/>
      <c r="H542" s="10" t="inlineStr"/>
      <c r="I542" s="10" t="inlineStr"/>
      <c r="J542" s="10" t="inlineStr"/>
      <c r="K542" s="10" t="inlineStr"/>
      <c r="L542" s="10" t="inlineStr"/>
      <c r="M542" s="10" t="inlineStr"/>
    </row>
    <row r="543">
      <c r="A543" s="10" t="n">
        <v>41</v>
      </c>
      <c r="B543" s="10" t="inlineStr">
        <is>
          <t>GUARDIAN PORTAL</t>
        </is>
      </c>
      <c r="C543" s="10" t="inlineStr">
        <is>
          <t>41.3</t>
        </is>
      </c>
      <c r="D543" s="10" t="inlineStr">
        <is>
          <t>Feature</t>
        </is>
      </c>
      <c r="E543" s="10" t="inlineStr"/>
      <c r="F543" s="10" t="inlineStr">
        <is>
          <t>RSVP for the child; fee shown and pay flow (see 43); Leave Team removes the child from the team area only.</t>
        </is>
      </c>
      <c r="G543" s="10" t="inlineStr"/>
      <c r="H543" s="10" t="inlineStr"/>
      <c r="I543" s="10" t="inlineStr"/>
      <c r="J543" s="10" t="inlineStr"/>
      <c r="K543" s="10" t="inlineStr"/>
      <c r="L543" s="10" t="inlineStr"/>
      <c r="M543" s="10" t="inlineStr"/>
    </row>
    <row r="544">
      <c r="A544" s="10" t="n">
        <v>41</v>
      </c>
      <c r="B544" s="10" t="inlineStr">
        <is>
          <t>GUARDIAN PORTAL</t>
        </is>
      </c>
      <c r="C544" s="10" t="inlineStr">
        <is>
          <t>41.4</t>
        </is>
      </c>
      <c r="D544" s="10" t="inlineStr">
        <is>
          <t>Feature</t>
        </is>
      </c>
      <c r="E544" s="10" t="inlineStr"/>
      <c r="F544" s="10" t="inlineStr">
        <is>
          <t>Guardian assessment view: sees results/letters/shared summary only for their own child.</t>
        </is>
      </c>
      <c r="G544" s="10" t="inlineStr"/>
      <c r="H544" s="10" t="inlineStr"/>
      <c r="I544" s="10" t="inlineStr"/>
      <c r="J544" s="10" t="inlineStr"/>
      <c r="K544" s="10" t="inlineStr"/>
      <c r="L544" s="10" t="inlineStr"/>
      <c r="M544" s="10" t="inlineStr"/>
    </row>
    <row r="545">
      <c r="A545" s="10" t="n">
        <v>41</v>
      </c>
      <c r="B545" s="10" t="inlineStr">
        <is>
          <t>GUARDIAN PORTAL</t>
        </is>
      </c>
      <c r="C545" s="10" t="inlineStr">
        <is>
          <t>41.5</t>
        </is>
      </c>
      <c r="D545" s="10" t="inlineStr">
        <is>
          <t>Feature</t>
        </is>
      </c>
      <c r="E545" s="10" t="inlineStr"/>
      <c r="F545" s="10" t="inlineStr">
        <is>
          <t>Share directory: guardian shares/unshares an athlete with a coach; coach sees it under Shared Athletes; release flow.</t>
        </is>
      </c>
      <c r="G545" s="10" t="inlineStr"/>
      <c r="H545" s="10" t="inlineStr"/>
      <c r="I545" s="10" t="inlineStr"/>
      <c r="J545" s="10" t="inlineStr"/>
      <c r="K545" s="10" t="inlineStr"/>
      <c r="L545" s="10" t="inlineStr"/>
      <c r="M545" s="10" t="inlineStr"/>
    </row>
    <row r="546">
      <c r="A546" s="10" t="n">
        <v>41</v>
      </c>
      <c r="B546" s="10" t="inlineStr">
        <is>
          <t>GUARDIAN PORTAL</t>
        </is>
      </c>
      <c r="C546" s="10" t="inlineStr">
        <is>
          <t>41.6</t>
        </is>
      </c>
      <c r="D546" s="10" t="inlineStr">
        <is>
          <t>Feature</t>
        </is>
      </c>
      <c r="E546" s="10" t="inlineStr"/>
      <c r="F546" s="10" t="inlineStr">
        <is>
          <t>Resend invite / re-invite when the login account was deleted.</t>
        </is>
      </c>
      <c r="G546" s="10" t="inlineStr"/>
      <c r="H546" s="10" t="inlineStr"/>
      <c r="I546" s="10" t="inlineStr"/>
      <c r="J546" s="10" t="inlineStr"/>
      <c r="K546" s="10" t="inlineStr"/>
      <c r="L546" s="10" t="inlineStr"/>
      <c r="M546" s="10" t="inlineStr"/>
    </row>
    <row r="547">
      <c r="A547" s="10" t="n">
        <v>41</v>
      </c>
      <c r="B547" s="10" t="inlineStr">
        <is>
          <t>GUARDIAN PORTAL</t>
        </is>
      </c>
      <c r="C547" s="10" t="inlineStr">
        <is>
          <t>41.7</t>
        </is>
      </c>
      <c r="D547" s="10" t="inlineStr">
        <is>
          <t>Feature</t>
        </is>
      </c>
      <c r="E547" s="10" t="inlineStr"/>
      <c r="F547" s="10" t="inlineStr">
        <is>
          <t>Guardian cannot open any other athlete by id.</t>
        </is>
      </c>
      <c r="G547" s="10" t="inlineStr"/>
      <c r="H547" s="10" t="inlineStr"/>
      <c r="I547" s="10" t="inlineStr"/>
      <c r="J547" s="10" t="inlineStr"/>
      <c r="K547" s="10" t="inlineStr"/>
      <c r="L547" s="10" t="inlineStr"/>
      <c r="M547" s="10" t="inlineStr"/>
    </row>
    <row r="548">
      <c r="A548" s="10" t="n">
        <v>41</v>
      </c>
      <c r="B548" s="10" t="inlineStr">
        <is>
          <t>GUARDIAN PORTAL</t>
        </is>
      </c>
      <c r="C548" s="10" t="inlineStr">
        <is>
          <t>41.8</t>
        </is>
      </c>
      <c r="D548" s="10" t="inlineStr">
        <is>
          <t>Feature</t>
        </is>
      </c>
      <c r="E548" s="10" t="inlineStr"/>
      <c r="F548" s="10" t="inlineStr">
        <is>
          <t>(Deferred item #19) child appears both under My Athletes and in the team area after accepting an invite.</t>
        </is>
      </c>
      <c r="G548" s="10" t="inlineStr"/>
      <c r="H548" s="10" t="inlineStr"/>
      <c r="I548" s="10" t="inlineStr"/>
      <c r="J548" s="10" t="inlineStr"/>
      <c r="K548" s="10" t="inlineStr"/>
      <c r="L548" s="10" t="inlineStr"/>
      <c r="M548" s="10" t="inlineStr"/>
    </row>
    <row r="549">
      <c r="A549" s="10" t="n">
        <v>42</v>
      </c>
      <c r="B549" s="10" t="inlineStr">
        <is>
          <t>PLAYER PROFILES AND SHARED ATHLETES</t>
        </is>
      </c>
      <c r="C549" s="10" t="inlineStr">
        <is>
          <t>42.1</t>
        </is>
      </c>
      <c r="D549" s="10" t="inlineStr">
        <is>
          <t>Feature</t>
        </is>
      </c>
      <c r="E549" s="10" t="inlineStr"/>
      <c r="F549" s="10" t="inlineStr">
        <is>
          <t>Player profile (athlete screen): history across evaluations and seasons, scores, letters, photo.</t>
        </is>
      </c>
      <c r="G549" s="10" t="inlineStr"/>
      <c r="H549" s="10" t="inlineStr"/>
      <c r="I549" s="10" t="inlineStr"/>
      <c r="J549" s="10" t="inlineStr"/>
      <c r="K549" s="10" t="inlineStr"/>
      <c r="L549" s="10" t="inlineStr"/>
      <c r="M549" s="10" t="inlineStr"/>
    </row>
    <row r="550">
      <c r="A550" s="10" t="n">
        <v>42</v>
      </c>
      <c r="B550" s="10" t="inlineStr">
        <is>
          <t>PLAYER PROFILES AND SHARED ATHLETES</t>
        </is>
      </c>
      <c r="C550" s="10" t="inlineStr">
        <is>
          <t>42.2</t>
        </is>
      </c>
      <c r="D550" s="10" t="inlineStr">
        <is>
          <t>Feature</t>
        </is>
      </c>
      <c r="E550" s="10" t="inlineStr"/>
      <c r="F550" s="10" t="inlineStr">
        <is>
          <t>Shared athletes list: accept/decline; accepted athlete appears in a chosen evaluation roster; released state.</t>
        </is>
      </c>
      <c r="G550" s="10" t="inlineStr"/>
      <c r="H550" s="10" t="inlineStr"/>
      <c r="I550" s="10" t="inlineStr"/>
      <c r="J550" s="10" t="inlineStr"/>
      <c r="K550" s="10" t="inlineStr"/>
      <c r="L550" s="10" t="inlineStr"/>
      <c r="M550" s="10" t="inlineStr"/>
    </row>
    <row r="551">
      <c r="A551" s="10" t="n">
        <v>42</v>
      </c>
      <c r="B551" s="10" t="inlineStr">
        <is>
          <t>PLAYER PROFILES AND SHARED ATHLETES</t>
        </is>
      </c>
      <c r="C551" s="10" t="inlineStr">
        <is>
          <t>42.3</t>
        </is>
      </c>
      <c r="D551" s="10" t="inlineStr">
        <is>
          <t>Feature</t>
        </is>
      </c>
      <c r="E551" s="10" t="inlineStr"/>
      <c r="F551" s="10" t="inlineStr">
        <is>
          <t>Profile edits (name, birth year, contact) propagate to every roster the athlete is on.</t>
        </is>
      </c>
      <c r="G551" s="10" t="inlineStr"/>
      <c r="H551" s="10" t="inlineStr"/>
      <c r="I551" s="10" t="inlineStr"/>
      <c r="J551" s="10" t="inlineStr"/>
      <c r="K551" s="10" t="inlineStr"/>
      <c r="L551" s="10" t="inlineStr"/>
      <c r="M551" s="10" t="inlineStr"/>
    </row>
    <row r="552">
      <c r="A552" s="10" t="n">
        <v>43</v>
      </c>
      <c r="B552" s="10" t="inlineStr">
        <is>
          <t>PAYMENTS, STRIPE CONNECT, FEES</t>
        </is>
      </c>
      <c r="C552" s="10" t="inlineStr">
        <is>
          <t>43.1</t>
        </is>
      </c>
      <c r="D552" s="10" t="inlineStr">
        <is>
          <t>Feature</t>
        </is>
      </c>
      <c r="E552" s="10" t="inlineStr"/>
      <c r="F552" s="10" t="inlineStr">
        <is>
          <t>Payments dashboard: connect Stripe account, status, onboarding return link, disconnect messages.</t>
        </is>
      </c>
      <c r="G552" s="10" t="inlineStr"/>
      <c r="H552" s="10" t="inlineStr"/>
      <c r="I552" s="10" t="inlineStr"/>
      <c r="J552" s="10" t="inlineStr"/>
      <c r="K552" s="10" t="inlineStr"/>
      <c r="L552" s="10" t="inlineStr"/>
      <c r="M552" s="10" t="inlineStr"/>
    </row>
    <row r="553">
      <c r="A553" s="10" t="n">
        <v>43</v>
      </c>
      <c r="B553" s="10" t="inlineStr">
        <is>
          <t>PAYMENTS, STRIPE CONNECT, FEES</t>
        </is>
      </c>
      <c r="C553" s="10" t="inlineStr">
        <is>
          <t>43.2</t>
        </is>
      </c>
      <c r="D553" s="10" t="inlineStr">
        <is>
          <t>Feature</t>
        </is>
      </c>
      <c r="E553" s="10" t="inlineStr"/>
      <c r="F553" s="10" t="inlineStr">
        <is>
          <t>Registration fee: guardian pays via Stripe checkout; status flips to paid; coach sees it; platform fee 0.5% + Stripe fees shown as documented.</t>
        </is>
      </c>
      <c r="G553" s="10" t="inlineStr"/>
      <c r="H553" s="10" t="inlineStr"/>
      <c r="I553" s="10" t="inlineStr"/>
      <c r="J553" s="10" t="inlineStr"/>
      <c r="K553" s="10" t="inlineStr"/>
      <c r="L553" s="10" t="inlineStr"/>
      <c r="M553" s="10" t="inlineStr"/>
    </row>
    <row r="554">
      <c r="A554" s="10" t="n">
        <v>43</v>
      </c>
      <c r="B554" s="10" t="inlineStr">
        <is>
          <t>PAYMENTS, STRIPE CONNECT, FEES</t>
        </is>
      </c>
      <c r="C554" s="10" t="inlineStr">
        <is>
          <t>43.3</t>
        </is>
      </c>
      <c r="D554" s="10" t="inlineStr">
        <is>
          <t>Feature</t>
        </is>
      </c>
      <c r="E554" s="10" t="inlineStr"/>
      <c r="F554" s="10" t="inlineStr">
        <is>
          <t>Team fee: guardian pays; fee status on the roster; waive a fee.</t>
        </is>
      </c>
      <c r="G554" s="10" t="inlineStr"/>
      <c r="H554" s="10" t="inlineStr"/>
      <c r="I554" s="10" t="inlineStr"/>
      <c r="J554" s="10" t="inlineStr"/>
      <c r="K554" s="10" t="inlineStr"/>
      <c r="L554" s="10" t="inlineStr"/>
      <c r="M554" s="10" t="inlineStr"/>
    </row>
    <row r="555">
      <c r="A555" s="10" t="n">
        <v>43</v>
      </c>
      <c r="B555" s="10" t="inlineStr">
        <is>
          <t>PAYMENTS, STRIPE CONNECT, FEES</t>
        </is>
      </c>
      <c r="C555" s="10" t="inlineStr">
        <is>
          <t>43.4</t>
        </is>
      </c>
      <c r="D555" s="10" t="inlineStr">
        <is>
          <t>Feature</t>
        </is>
      </c>
      <c r="E555" s="10" t="inlineStr"/>
      <c r="F555" s="10" t="inlineStr">
        <is>
          <t>Failed / cancelled payment leaves unpaid, retry works.</t>
        </is>
      </c>
      <c r="G555" s="10" t="inlineStr"/>
      <c r="H555" s="10" t="inlineStr"/>
      <c r="I555" s="10" t="inlineStr"/>
      <c r="J555" s="10" t="inlineStr"/>
      <c r="K555" s="10" t="inlineStr"/>
      <c r="L555" s="10" t="inlineStr"/>
      <c r="M555" s="10" t="inlineStr"/>
    </row>
    <row r="556">
      <c r="A556" s="10" t="n">
        <v>43</v>
      </c>
      <c r="B556" s="10" t="inlineStr">
        <is>
          <t>PAYMENTS, STRIPE CONNECT, FEES</t>
        </is>
      </c>
      <c r="C556" s="10" t="inlineStr">
        <is>
          <t>43.5</t>
        </is>
      </c>
      <c r="D556" s="10" t="inlineStr">
        <is>
          <t>Feature</t>
        </is>
      </c>
      <c r="E556" s="10" t="inlineStr"/>
      <c r="F556" s="10" t="inlineStr">
        <is>
          <t>Refund or dispute appears correctly (webhook).</t>
        </is>
      </c>
      <c r="G556" s="10" t="inlineStr"/>
      <c r="H556" s="10" t="inlineStr"/>
      <c r="I556" s="10" t="inlineStr"/>
      <c r="J556" s="10" t="inlineStr"/>
      <c r="K556" s="10" t="inlineStr"/>
      <c r="L556" s="10" t="inlineStr"/>
      <c r="M556" s="10" t="inlineStr"/>
    </row>
    <row r="557">
      <c r="A557" s="10" t="n">
        <v>43</v>
      </c>
      <c r="B557" s="10" t="inlineStr">
        <is>
          <t>PAYMENTS, STRIPE CONNECT, FEES</t>
        </is>
      </c>
      <c r="C557" s="10" t="inlineStr">
        <is>
          <t>43.6</t>
        </is>
      </c>
      <c r="D557" s="10" t="inlineStr">
        <is>
          <t>Feature</t>
        </is>
      </c>
      <c r="E557" s="10" t="inlineStr"/>
      <c r="F557" s="10" t="inlineStr">
        <is>
          <t>Plans without payments (Free) cannot enable fees.</t>
        </is>
      </c>
      <c r="G557" s="10" t="inlineStr"/>
      <c r="H557" s="10" t="inlineStr"/>
      <c r="I557" s="10" t="inlineStr"/>
      <c r="J557" s="10" t="inlineStr"/>
      <c r="K557" s="10" t="inlineStr"/>
      <c r="L557" s="10" t="inlineStr"/>
      <c r="M557" s="10" t="inlineStr"/>
    </row>
    <row r="558">
      <c r="A558" s="10" t="n">
        <v>43</v>
      </c>
      <c r="B558" s="10" t="inlineStr">
        <is>
          <t>PAYMENTS, STRIPE CONNECT, FEES</t>
        </is>
      </c>
      <c r="C558" s="10" t="inlineStr">
        <is>
          <t>43.7</t>
        </is>
      </c>
      <c r="D558" s="10" t="inlineStr">
        <is>
          <t>Feature</t>
        </is>
      </c>
      <c r="E558" s="10" t="inlineStr"/>
      <c r="F558" s="10" t="inlineStr">
        <is>
          <t>Test mode only for all payment testing.</t>
        </is>
      </c>
      <c r="G558" s="10" t="inlineStr"/>
      <c r="H558" s="10" t="inlineStr"/>
      <c r="I558" s="10" t="inlineStr"/>
      <c r="J558" s="10" t="inlineStr"/>
      <c r="K558" s="10" t="inlineStr"/>
      <c r="L558" s="10" t="inlineStr"/>
      <c r="M558" s="10" t="inlineStr"/>
    </row>
    <row r="559">
      <c r="A559" s="10" t="n">
        <v>44</v>
      </c>
      <c r="B559" s="10" t="inlineStr">
        <is>
          <t>PLANS, UPGRADE, BILLING, LOYALTY</t>
        </is>
      </c>
      <c r="C559" s="10" t="inlineStr">
        <is>
          <t>44.1</t>
        </is>
      </c>
      <c r="D559" s="10" t="inlineStr">
        <is>
          <t>Feature</t>
        </is>
      </c>
      <c r="E559" s="10" t="inlineStr"/>
      <c r="F559" s="10" t="inlineStr">
        <is>
          <t>Upgrade screen: four plan cards with correct price, features, current-plan badge; monthly/yearly toggle changes prices.</t>
        </is>
      </c>
      <c r="G559" s="10" t="inlineStr"/>
      <c r="H559" s="10" t="inlineStr"/>
      <c r="I559" s="10" t="inlineStr"/>
      <c r="J559" s="10" t="inlineStr"/>
      <c r="K559" s="10" t="inlineStr"/>
      <c r="L559" s="10" t="inlineStr"/>
      <c r="M559" s="10" t="inlineStr"/>
    </row>
    <row r="560">
      <c r="A560" s="10" t="n">
        <v>44</v>
      </c>
      <c r="B560" s="10" t="inlineStr">
        <is>
          <t>PLANS, UPGRADE, BILLING, LOYALTY</t>
        </is>
      </c>
      <c r="C560" s="10" t="inlineStr">
        <is>
          <t>44.2</t>
        </is>
      </c>
      <c r="D560" s="10" t="inlineStr">
        <is>
          <t>Feature</t>
        </is>
      </c>
      <c r="E560" s="10" t="inlineStr"/>
      <c r="F560" s="10" t="inlineStr">
        <is>
          <t>Free -&gt; paid: Checkout, success return, plan unlocks within a few seconds; discount code (founder) valid/invalid/expired.</t>
        </is>
      </c>
      <c r="G560" s="10" t="inlineStr"/>
      <c r="H560" s="10" t="inlineStr"/>
      <c r="I560" s="10" t="inlineStr"/>
      <c r="J560" s="10" t="inlineStr"/>
      <c r="K560" s="10" t="inlineStr"/>
      <c r="L560" s="10" t="inlineStr"/>
      <c r="M560" s="10" t="inlineStr"/>
    </row>
    <row r="561">
      <c r="A561" s="10" t="n">
        <v>44</v>
      </c>
      <c r="B561" s="10" t="inlineStr">
        <is>
          <t>PLANS, UPGRADE, BILLING, LOYALTY</t>
        </is>
      </c>
      <c r="C561" s="10" t="inlineStr">
        <is>
          <t>44.3</t>
        </is>
      </c>
      <c r="D561" s="10" t="inlineStr">
        <is>
          <t>Feature</t>
        </is>
      </c>
      <c r="E561" s="10" t="inlineStr"/>
      <c r="F561" s="10" t="inlineStr">
        <is>
          <t>Paid -&gt; higher (prorated, section 21); paid -&gt; lower (scheduled at term end, section 21 regression); cancel -&gt; Free at term end.</t>
        </is>
      </c>
      <c r="G561" s="10" t="inlineStr"/>
      <c r="H561" s="10" t="inlineStr"/>
      <c r="I561" s="10" t="inlineStr"/>
      <c r="J561" s="10" t="inlineStr"/>
      <c r="K561" s="10" t="inlineStr"/>
      <c r="L561" s="10" t="inlineStr"/>
      <c r="M561" s="10" t="inlineStr"/>
    </row>
    <row r="562">
      <c r="A562" s="10" t="n">
        <v>44</v>
      </c>
      <c r="B562" s="10" t="inlineStr">
        <is>
          <t>PLANS, UPGRADE, BILLING, LOYALTY</t>
        </is>
      </c>
      <c r="C562" s="10" t="inlineStr">
        <is>
          <t>44.4</t>
        </is>
      </c>
      <c r="D562" s="10" t="inlineStr">
        <is>
          <t>Feature</t>
        </is>
      </c>
      <c r="E562" s="10" t="inlineStr"/>
      <c r="F562" s="10" t="inlineStr">
        <is>
          <t>Manage Subscription opens the Stripe portal; invoices listed.</t>
        </is>
      </c>
      <c r="G562" s="10" t="inlineStr"/>
      <c r="H562" s="10" t="inlineStr"/>
      <c r="I562" s="10" t="inlineStr"/>
      <c r="J562" s="10" t="inlineStr"/>
      <c r="K562" s="10" t="inlineStr"/>
      <c r="L562" s="10" t="inlineStr"/>
      <c r="M562" s="10" t="inlineStr"/>
    </row>
    <row r="563">
      <c r="A563" s="10" t="n">
        <v>44</v>
      </c>
      <c r="B563" s="10" t="inlineStr">
        <is>
          <t>PLANS, UPGRADE, BILLING, LOYALTY</t>
        </is>
      </c>
      <c r="C563" s="10" t="inlineStr">
        <is>
          <t>44.5</t>
        </is>
      </c>
      <c r="D563" s="10" t="inlineStr">
        <is>
          <t>Feature</t>
        </is>
      </c>
      <c r="E563" s="10" t="inlineStr"/>
      <c r="F563" s="10" t="inlineStr">
        <is>
          <t>Pending plan change / scheduled cancellation is shown in the app.</t>
        </is>
      </c>
      <c r="G563" s="10" t="inlineStr"/>
      <c r="H563" s="10" t="inlineStr"/>
      <c r="I563" s="10" t="inlineStr"/>
      <c r="J563" s="10" t="inlineStr"/>
      <c r="K563" s="10" t="inlineStr"/>
      <c r="L563" s="10" t="inlineStr"/>
      <c r="M563" s="10" t="inlineStr"/>
    </row>
    <row r="564">
      <c r="A564" s="10" t="n">
        <v>44</v>
      </c>
      <c r="B564" s="10" t="inlineStr">
        <is>
          <t>PLANS, UPGRADE, BILLING, LOYALTY</t>
        </is>
      </c>
      <c r="C564" s="10" t="inlineStr">
        <is>
          <t>44.6</t>
        </is>
      </c>
      <c r="D564" s="10" t="inlineStr">
        <is>
          <t>Feature</t>
        </is>
      </c>
      <c r="E564" s="10" t="inlineStr"/>
      <c r="F564" s="10" t="inlineStr">
        <is>
          <t>Club extra team licenses: buy (quantity), team cap rises, second subscription is left alone by upgrades/downgrades.</t>
        </is>
      </c>
      <c r="G564" s="10" t="inlineStr"/>
      <c r="H564" s="10" t="inlineStr"/>
      <c r="I564" s="10" t="inlineStr"/>
      <c r="J564" s="10" t="inlineStr"/>
      <c r="K564" s="10" t="inlineStr"/>
      <c r="L564" s="10" t="inlineStr"/>
      <c r="M564" s="10" t="inlineStr"/>
    </row>
    <row r="565">
      <c r="A565" s="10" t="n">
        <v>44</v>
      </c>
      <c r="B565" s="10" t="inlineStr">
        <is>
          <t>PLANS, UPGRADE, BILLING, LOYALTY</t>
        </is>
      </c>
      <c r="C565" s="10" t="inlineStr">
        <is>
          <t>44.7</t>
        </is>
      </c>
      <c r="D565" s="10" t="inlineStr">
        <is>
          <t>Feature</t>
        </is>
      </c>
      <c r="E565" s="10" t="inlineStr"/>
      <c r="F565" s="10" t="inlineStr">
        <is>
          <t>Plan gates hide/show: Team Builder, AI, exports by format, share links, Season Hub, guardian portal, team managers, payments, custom rubric cap, enterprise tools - for each of the 4 tiers.</t>
        </is>
      </c>
      <c r="G565" s="10" t="inlineStr"/>
      <c r="H565" s="10" t="inlineStr"/>
      <c r="I565" s="10" t="inlineStr"/>
      <c r="J565" s="10" t="inlineStr"/>
      <c r="K565" s="10" t="inlineStr"/>
      <c r="L565" s="10" t="inlineStr"/>
      <c r="M565" s="10" t="inlineStr"/>
    </row>
    <row r="566">
      <c r="A566" s="10" t="n">
        <v>44</v>
      </c>
      <c r="B566" s="10" t="inlineStr">
        <is>
          <t>PLANS, UPGRADE, BILLING, LOYALTY</t>
        </is>
      </c>
      <c r="C566" s="10" t="inlineStr">
        <is>
          <t>44.8</t>
        </is>
      </c>
      <c r="D566" s="10" t="inlineStr">
        <is>
          <t>Feature</t>
        </is>
      </c>
      <c r="E566" s="10" t="inlineStr"/>
      <c r="F566" s="10" t="inlineStr">
        <is>
          <t>Loyalty/referral: referral code apply, credit ledger, credit applied at Checkout, capped a cent below total.</t>
        </is>
      </c>
      <c r="G566" s="10" t="inlineStr"/>
      <c r="H566" s="10" t="inlineStr"/>
      <c r="I566" s="10" t="inlineStr"/>
      <c r="J566" s="10" t="inlineStr"/>
      <c r="K566" s="10" t="inlineStr"/>
      <c r="L566" s="10" t="inlineStr"/>
      <c r="M566" s="10" t="inlineStr"/>
    </row>
    <row r="567">
      <c r="A567" s="10" t="n">
        <v>44</v>
      </c>
      <c r="B567" s="10" t="inlineStr">
        <is>
          <t>PLANS, UPGRADE, BILLING, LOYALTY</t>
        </is>
      </c>
      <c r="C567" s="10" t="inlineStr">
        <is>
          <t>44.9</t>
        </is>
      </c>
      <c r="D567" s="10" t="inlineStr">
        <is>
          <t>Feature</t>
        </is>
      </c>
      <c r="E567" s="10" t="inlineStr"/>
      <c r="F567" s="10" t="inlineStr">
        <is>
          <t>Webhooks: subscription updated/deleted keep plan_tier correct; no double billing after any change.</t>
        </is>
      </c>
      <c r="G567" s="10" t="inlineStr"/>
      <c r="H567" s="10" t="inlineStr"/>
      <c r="I567" s="10" t="inlineStr"/>
      <c r="J567" s="10" t="inlineStr"/>
      <c r="K567" s="10" t="inlineStr"/>
      <c r="L567" s="10" t="inlineStr"/>
      <c r="M567" s="10" t="inlineStr"/>
    </row>
    <row r="568">
      <c r="A568" s="10" t="n">
        <v>45</v>
      </c>
      <c r="B568" s="10" t="inlineStr">
        <is>
          <t>PROFILE AND ACCOUNT</t>
        </is>
      </c>
      <c r="C568" s="10" t="inlineStr">
        <is>
          <t>45.1</t>
        </is>
      </c>
      <c r="D568" s="10" t="inlineStr">
        <is>
          <t>Feature</t>
        </is>
      </c>
      <c r="E568" s="10" t="inlineStr"/>
      <c r="F568" s="10" t="inlineStr">
        <is>
          <t>Profile: photo change, name/organization edit + cancel, badges (role, plan, status), plan limits summary.</t>
        </is>
      </c>
      <c r="G568" s="10" t="inlineStr"/>
      <c r="H568" s="10" t="inlineStr"/>
      <c r="I568" s="10" t="inlineStr"/>
      <c r="J568" s="10" t="inlineStr"/>
      <c r="K568" s="10" t="inlineStr"/>
      <c r="L568" s="10" t="inlineStr"/>
      <c r="M568" s="10" t="inlineStr"/>
    </row>
    <row r="569">
      <c r="A569" s="10" t="n">
        <v>45</v>
      </c>
      <c r="B569" s="10" t="inlineStr">
        <is>
          <t>PROFILE AND ACCOUNT</t>
        </is>
      </c>
      <c r="C569" s="10" t="inlineStr">
        <is>
          <t>45.2</t>
        </is>
      </c>
      <c r="D569" s="10" t="inlineStr">
        <is>
          <t>Feature</t>
        </is>
      </c>
      <c r="E569" s="10" t="inlineStr"/>
      <c r="F569" s="10" t="inlineStr">
        <is>
          <t>Change Password: works, old password rejected afterwards.</t>
        </is>
      </c>
      <c r="G569" s="10" t="inlineStr"/>
      <c r="H569" s="10" t="inlineStr"/>
      <c r="I569" s="10" t="inlineStr"/>
      <c r="J569" s="10" t="inlineStr"/>
      <c r="K569" s="10" t="inlineStr"/>
      <c r="L569" s="10" t="inlineStr"/>
      <c r="M569" s="10" t="inlineStr"/>
    </row>
    <row r="570">
      <c r="A570" s="10" t="n">
        <v>45</v>
      </c>
      <c r="B570" s="10" t="inlineStr">
        <is>
          <t>PROFILE AND ACCOUNT</t>
        </is>
      </c>
      <c r="C570" s="10" t="inlineStr">
        <is>
          <t>45.3</t>
        </is>
      </c>
      <c r="D570" s="10" t="inlineStr">
        <is>
          <t>Feature</t>
        </is>
      </c>
      <c r="E570" s="10" t="inlineStr"/>
      <c r="F570" s="10" t="inlineStr">
        <is>
          <t>Dark Mode switch persists across restarts.</t>
        </is>
      </c>
      <c r="G570" s="10" t="inlineStr"/>
      <c r="H570" s="10" t="inlineStr"/>
      <c r="I570" s="10" t="inlineStr"/>
      <c r="J570" s="10" t="inlineStr"/>
      <c r="K570" s="10" t="inlineStr"/>
      <c r="L570" s="10" t="inlineStr"/>
      <c r="M570" s="10" t="inlineStr"/>
    </row>
    <row r="571">
      <c r="A571" s="10" t="n">
        <v>45</v>
      </c>
      <c r="B571" s="10" t="inlineStr">
        <is>
          <t>PROFILE AND ACCOUNT</t>
        </is>
      </c>
      <c r="C571" s="10" t="inlineStr">
        <is>
          <t>45.4</t>
        </is>
      </c>
      <c r="D571" s="10" t="inlineStr">
        <is>
          <t>Feature</t>
        </is>
      </c>
      <c r="E571" s="10" t="inlineStr"/>
      <c r="F571" s="10" t="inlineStr">
        <is>
          <t>Quick links (Search, Members, Feedback, Loyalty) open correctly.</t>
        </is>
      </c>
      <c r="G571" s="10" t="inlineStr"/>
      <c r="H571" s="10" t="inlineStr"/>
      <c r="I571" s="10" t="inlineStr"/>
      <c r="J571" s="10" t="inlineStr"/>
      <c r="K571" s="10" t="inlineStr"/>
      <c r="L571" s="10" t="inlineStr"/>
      <c r="M571" s="10" t="inlineStr"/>
    </row>
    <row r="572">
      <c r="A572" s="10" t="n">
        <v>45</v>
      </c>
      <c r="B572" s="10" t="inlineStr">
        <is>
          <t>PROFILE AND ACCOUNT</t>
        </is>
      </c>
      <c r="C572" s="10" t="inlineStr">
        <is>
          <t>45.5</t>
        </is>
      </c>
      <c r="D572" s="10" t="inlineStr">
        <is>
          <t>Feature</t>
        </is>
      </c>
      <c r="E572" s="10" t="inlineStr"/>
      <c r="F572" s="10" t="inlineStr">
        <is>
          <t>Delete Account: confirmation, account + data removed, cannot log in afterwards; Log Out and Delete visible above the Android nav bar (section 1).</t>
        </is>
      </c>
      <c r="G572" s="10" t="inlineStr"/>
      <c r="H572" s="10" t="inlineStr"/>
      <c r="I572" s="10" t="inlineStr"/>
      <c r="J572" s="10" t="inlineStr"/>
      <c r="K572" s="10" t="inlineStr"/>
      <c r="L572" s="10" t="inlineStr"/>
      <c r="M572" s="10" t="inlineStr"/>
    </row>
    <row r="573">
      <c r="A573" s="10" t="n">
        <v>45</v>
      </c>
      <c r="B573" s="10" t="inlineStr">
        <is>
          <t>PROFILE AND ACCOUNT</t>
        </is>
      </c>
      <c r="C573" s="10" t="inlineStr">
        <is>
          <t>45.6</t>
        </is>
      </c>
      <c r="D573" s="10" t="inlineStr">
        <is>
          <t>Feature</t>
        </is>
      </c>
      <c r="E573" s="10" t="inlineStr"/>
      <c r="F573" s="10" t="inlineStr">
        <is>
          <t>Push notification permission prompt and settings; test push arrives (schedule update, chat, invite).</t>
        </is>
      </c>
      <c r="G573" s="10" t="inlineStr"/>
      <c r="H573" s="10" t="inlineStr"/>
      <c r="I573" s="10" t="inlineStr"/>
      <c r="J573" s="10" t="inlineStr"/>
      <c r="K573" s="10" t="inlineStr"/>
      <c r="L573" s="10" t="inlineStr"/>
      <c r="M573" s="10" t="inlineStr"/>
    </row>
    <row r="574">
      <c r="A574" s="10" t="n">
        <v>46</v>
      </c>
      <c r="B574" s="10" t="inlineStr">
        <is>
          <t>SEARCH</t>
        </is>
      </c>
      <c r="C574" s="10" t="inlineStr">
        <is>
          <t>46.1</t>
        </is>
      </c>
      <c r="D574" s="10" t="inlineStr">
        <is>
          <t>Feature</t>
        </is>
      </c>
      <c r="E574" s="10" t="inlineStr"/>
      <c r="F574" s="10" t="inlineStr">
        <is>
          <t>Search evaluations, players, seasons, teams by partial text; results open the right screen.</t>
        </is>
      </c>
      <c r="G574" s="10" t="inlineStr"/>
      <c r="H574" s="10" t="inlineStr"/>
      <c r="I574" s="10" t="inlineStr"/>
      <c r="J574" s="10" t="inlineStr"/>
      <c r="K574" s="10" t="inlineStr"/>
      <c r="L574" s="10" t="inlineStr"/>
      <c r="M574" s="10" t="inlineStr"/>
    </row>
    <row r="575">
      <c r="A575" s="10" t="n">
        <v>46</v>
      </c>
      <c r="B575" s="10" t="inlineStr">
        <is>
          <t>SEARCH</t>
        </is>
      </c>
      <c r="C575" s="10" t="inlineStr">
        <is>
          <t>46.2</t>
        </is>
      </c>
      <c r="D575" s="10" t="inlineStr">
        <is>
          <t>Feature</t>
        </is>
      </c>
      <c r="E575" s="10" t="inlineStr"/>
      <c r="F575" s="10" t="inlineStr">
        <is>
          <t>Empty query / no results states; special characters; very long text.</t>
        </is>
      </c>
      <c r="G575" s="10" t="inlineStr"/>
      <c r="H575" s="10" t="inlineStr"/>
      <c r="I575" s="10" t="inlineStr"/>
      <c r="J575" s="10" t="inlineStr"/>
      <c r="K575" s="10" t="inlineStr"/>
      <c r="L575" s="10" t="inlineStr"/>
      <c r="M575" s="10" t="inlineStr"/>
    </row>
    <row r="576">
      <c r="A576" s="10" t="n">
        <v>46</v>
      </c>
      <c r="B576" s="10" t="inlineStr">
        <is>
          <t>SEARCH</t>
        </is>
      </c>
      <c r="C576" s="10" t="inlineStr">
        <is>
          <t>46.3</t>
        </is>
      </c>
      <c r="D576" s="10" t="inlineStr">
        <is>
          <t>Feature</t>
        </is>
      </c>
      <c r="E576" s="10" t="inlineStr"/>
      <c r="F576" s="10" t="inlineStr">
        <is>
          <t>Results respect permissions (no other accounts' data).</t>
        </is>
      </c>
      <c r="G576" s="10" t="inlineStr"/>
      <c r="H576" s="10" t="inlineStr"/>
      <c r="I576" s="10" t="inlineStr"/>
      <c r="J576" s="10" t="inlineStr"/>
      <c r="K576" s="10" t="inlineStr"/>
      <c r="L576" s="10" t="inlineStr"/>
      <c r="M576" s="10" t="inlineStr"/>
    </row>
    <row r="577">
      <c r="A577" s="10" t="n">
        <v>46</v>
      </c>
      <c r="B577" s="10" t="inlineStr">
        <is>
          <t>SEARCH</t>
        </is>
      </c>
      <c r="C577" s="10" t="inlineStr">
        <is>
          <t>46.4</t>
        </is>
      </c>
      <c r="D577" s="10" t="inlineStr">
        <is>
          <t>Feature</t>
        </is>
      </c>
      <c r="E577" s="10" t="inlineStr"/>
      <c r="F577" s="10" t="inlineStr">
        <is>
          <t>Team-linked evaluations are found even though hidden from Home.</t>
        </is>
      </c>
      <c r="G577" s="10" t="inlineStr"/>
      <c r="H577" s="10" t="inlineStr"/>
      <c r="I577" s="10" t="inlineStr"/>
      <c r="J577" s="10" t="inlineStr"/>
      <c r="K577" s="10" t="inlineStr"/>
      <c r="L577" s="10" t="inlineStr"/>
      <c r="M577" s="10" t="inlineStr"/>
    </row>
    <row r="578">
      <c r="A578" s="10" t="n">
        <v>47</v>
      </c>
      <c r="B578" s="10" t="inlineStr">
        <is>
          <t>ORGANIZATION, ENTERPRISE, ADMIN</t>
        </is>
      </c>
      <c r="C578" s="10" t="inlineStr">
        <is>
          <t>47.1</t>
        </is>
      </c>
      <c r="D578" s="10" t="inlineStr">
        <is>
          <t>Feature</t>
        </is>
      </c>
      <c r="E578" s="10" t="inlineStr"/>
      <c r="F578" s="10" t="inlineStr">
        <is>
          <t>Dashboard (organization-wide reporting) totals equal the sum of teams/evaluations; loads fast with large accounts.</t>
        </is>
      </c>
      <c r="G578" s="10" t="inlineStr"/>
      <c r="H578" s="10" t="inlineStr"/>
      <c r="I578" s="10" t="inlineStr"/>
      <c r="J578" s="10" t="inlineStr"/>
      <c r="K578" s="10" t="inlineStr"/>
      <c r="L578" s="10" t="inlineStr"/>
      <c r="M578" s="10" t="inlineStr"/>
    </row>
    <row r="579">
      <c r="A579" s="10" t="n">
        <v>47</v>
      </c>
      <c r="B579" s="10" t="inlineStr">
        <is>
          <t>ORGANIZATION, ENTERPRISE, ADMIN</t>
        </is>
      </c>
      <c r="C579" s="10" t="inlineStr">
        <is>
          <t>47.2</t>
        </is>
      </c>
      <c r="D579" s="10" t="inlineStr">
        <is>
          <t>Feature</t>
        </is>
      </c>
      <c r="E579" s="10" t="inlineStr"/>
      <c r="F579" s="10" t="inlineStr">
        <is>
          <t>Members: list guardians/coaches/assessors, invite, remove, resend.</t>
        </is>
      </c>
      <c r="G579" s="10" t="inlineStr"/>
      <c r="H579" s="10" t="inlineStr"/>
      <c r="I579" s="10" t="inlineStr"/>
      <c r="J579" s="10" t="inlineStr"/>
      <c r="K579" s="10" t="inlineStr"/>
      <c r="L579" s="10" t="inlineStr"/>
      <c r="M579" s="10" t="inlineStr"/>
    </row>
    <row r="580">
      <c r="A580" s="10" t="n">
        <v>47</v>
      </c>
      <c r="B580" s="10" t="inlineStr">
        <is>
          <t>ORGANIZATION, ENTERPRISE, ADMIN</t>
        </is>
      </c>
      <c r="C580" s="10" t="inlineStr">
        <is>
          <t>47.3</t>
        </is>
      </c>
      <c r="D580" s="10" t="inlineStr">
        <is>
          <t>Feature</t>
        </is>
      </c>
      <c r="E580" s="10" t="inlineStr"/>
      <c r="F580" s="10" t="inlineStr">
        <is>
          <t>Enterprise/association tools visible on Club only.</t>
        </is>
      </c>
      <c r="G580" s="10" t="inlineStr"/>
      <c r="H580" s="10" t="inlineStr"/>
      <c r="I580" s="10" t="inlineStr"/>
      <c r="J580" s="10" t="inlineStr"/>
      <c r="K580" s="10" t="inlineStr"/>
      <c r="L580" s="10" t="inlineStr"/>
      <c r="M580" s="10" t="inlineStr"/>
    </row>
    <row r="581">
      <c r="A581" s="10" t="n">
        <v>47</v>
      </c>
      <c r="B581" s="10" t="inlineStr">
        <is>
          <t>ORGANIZATION, ENTERPRISE, ADMIN</t>
        </is>
      </c>
      <c r="C581" s="10" t="inlineStr">
        <is>
          <t>47.4</t>
        </is>
      </c>
      <c r="D581" s="10" t="inlineStr">
        <is>
          <t>Feature</t>
        </is>
      </c>
      <c r="E581" s="10" t="inlineStr"/>
      <c r="F581" s="10" t="inlineStr">
        <is>
          <t>Admin/founder screens visible to platform admins only.</t>
        </is>
      </c>
      <c r="G581" s="10" t="inlineStr"/>
      <c r="H581" s="10" t="inlineStr"/>
      <c r="I581" s="10" t="inlineStr"/>
      <c r="J581" s="10" t="inlineStr"/>
      <c r="K581" s="10" t="inlineStr"/>
      <c r="L581" s="10" t="inlineStr"/>
      <c r="M581" s="10" t="inlineStr"/>
    </row>
    <row r="582">
      <c r="A582" s="10" t="n">
        <v>48</v>
      </c>
      <c r="B582" s="10" t="inlineStr">
        <is>
          <t>FEEDBACK</t>
        </is>
      </c>
      <c r="C582" s="10" t="inlineStr">
        <is>
          <t>48.1</t>
        </is>
      </c>
      <c r="D582" s="10" t="inlineStr">
        <is>
          <t>Feature</t>
        </is>
      </c>
      <c r="E582" s="10" t="inlineStr"/>
      <c r="F582" s="10" t="inlineStr">
        <is>
          <t>Submit feedback with type + text + screenshot; confirmation shown; appears in feedback reports (admins).</t>
        </is>
      </c>
      <c r="G582" s="10" t="inlineStr"/>
      <c r="H582" s="10" t="inlineStr"/>
      <c r="I582" s="10" t="inlineStr"/>
      <c r="J582" s="10" t="inlineStr"/>
      <c r="K582" s="10" t="inlineStr"/>
      <c r="L582" s="10" t="inlineStr"/>
      <c r="M582" s="10" t="inlineStr"/>
    </row>
    <row r="583">
      <c r="A583" s="10" t="n">
        <v>48</v>
      </c>
      <c r="B583" s="10" t="inlineStr">
        <is>
          <t>FEEDBACK</t>
        </is>
      </c>
      <c r="C583" s="10" t="inlineStr">
        <is>
          <t>48.2</t>
        </is>
      </c>
      <c r="D583" s="10" t="inlineStr">
        <is>
          <t>Feature</t>
        </is>
      </c>
      <c r="E583" s="10" t="inlineStr"/>
      <c r="F583" s="10" t="inlineStr">
        <is>
          <t>Attachment size/type limits; offline submit fails clearly and can be retried.</t>
        </is>
      </c>
      <c r="G583" s="10" t="inlineStr"/>
      <c r="H583" s="10" t="inlineStr"/>
      <c r="I583" s="10" t="inlineStr"/>
      <c r="J583" s="10" t="inlineStr"/>
      <c r="K583" s="10" t="inlineStr"/>
      <c r="L583" s="10" t="inlineStr"/>
      <c r="M583" s="10" t="inlineStr"/>
    </row>
    <row r="584">
      <c r="A584" s="10" t="n">
        <v>49</v>
      </c>
      <c r="B584" s="10" t="inlineStr">
        <is>
          <t>CROSS-CUTTING QUALITY CHECKS (run on every build)</t>
        </is>
      </c>
      <c r="C584" s="10" t="inlineStr">
        <is>
          <t>49.1</t>
        </is>
      </c>
      <c r="D584" s="10" t="inlineStr">
        <is>
          <t>Feature</t>
        </is>
      </c>
      <c r="E584" s="10" t="inlineStr">
        <is>
          <t>PLATFORM / DEVICE</t>
        </is>
      </c>
      <c r="F584" s="10" t="inlineStr">
        <is>
          <t>iPhone (Dynamic Island + home-indicator model), small iPhone.</t>
        </is>
      </c>
      <c r="G584" s="10" t="inlineStr"/>
      <c r="H584" s="10" t="inlineStr"/>
      <c r="I584" s="10" t="inlineStr"/>
      <c r="J584" s="10" t="inlineStr"/>
      <c r="K584" s="10" t="inlineStr"/>
      <c r="L584" s="10" t="inlineStr"/>
      <c r="M584" s="10" t="inlineStr"/>
    </row>
    <row r="585">
      <c r="A585" s="10" t="n">
        <v>49</v>
      </c>
      <c r="B585" s="10" t="inlineStr">
        <is>
          <t>CROSS-CUTTING QUALITY CHECKS (run on every build)</t>
        </is>
      </c>
      <c r="C585" s="10" t="inlineStr">
        <is>
          <t>49.2</t>
        </is>
      </c>
      <c r="D585" s="10" t="inlineStr">
        <is>
          <t>Feature</t>
        </is>
      </c>
      <c r="E585" s="10" t="inlineStr">
        <is>
          <t>PLATFORM / DEVICE</t>
        </is>
      </c>
      <c r="F585" s="10" t="inlineStr">
        <is>
          <t>Android 3-button nav, Android gesture nav, Android 13/14, 15/16.</t>
        </is>
      </c>
      <c r="G585" s="10" t="inlineStr"/>
      <c r="H585" s="10" t="inlineStr"/>
      <c r="I585" s="10" t="inlineStr"/>
      <c r="J585" s="10" t="inlineStr"/>
      <c r="K585" s="10" t="inlineStr"/>
      <c r="L585" s="10" t="inlineStr"/>
      <c r="M585" s="10" t="inlineStr"/>
    </row>
    <row r="586">
      <c r="A586" s="10" t="n">
        <v>49</v>
      </c>
      <c r="B586" s="10" t="inlineStr">
        <is>
          <t>CROSS-CUTTING QUALITY CHECKS (run on every build)</t>
        </is>
      </c>
      <c r="C586" s="10" t="inlineStr">
        <is>
          <t>49.3</t>
        </is>
      </c>
      <c r="D586" s="10" t="inlineStr">
        <is>
          <t>Feature</t>
        </is>
      </c>
      <c r="E586" s="10" t="inlineStr">
        <is>
          <t>PLATFORM / DEVICE</t>
        </is>
      </c>
      <c r="F586" s="10" t="inlineStr">
        <is>
          <t>Small phone (5.5"), large phone, tablet; portrait + landscape.</t>
        </is>
      </c>
      <c r="G586" s="10" t="inlineStr"/>
      <c r="H586" s="10" t="inlineStr"/>
      <c r="I586" s="10" t="inlineStr"/>
      <c r="J586" s="10" t="inlineStr"/>
      <c r="K586" s="10" t="inlineStr"/>
      <c r="L586" s="10" t="inlineStr"/>
      <c r="M586" s="10" t="inlineStr"/>
    </row>
    <row r="587">
      <c r="A587" s="10" t="n">
        <v>49</v>
      </c>
      <c r="B587" s="10" t="inlineStr">
        <is>
          <t>CROSS-CUTTING QUALITY CHECKS (run on every build)</t>
        </is>
      </c>
      <c r="C587" s="10" t="inlineStr">
        <is>
          <t>49.4</t>
        </is>
      </c>
      <c r="D587" s="10" t="inlineStr">
        <is>
          <t>Feature</t>
        </is>
      </c>
      <c r="E587" s="10" t="inlineStr">
        <is>
          <t>PLATFORM / DEVICE</t>
        </is>
      </c>
      <c r="F587" s="10" t="inlineStr">
        <is>
          <t>Font size 100% / 130% / 200%: nothing clipped or overlapping.</t>
        </is>
      </c>
      <c r="G587" s="10" t="inlineStr"/>
      <c r="H587" s="10" t="inlineStr"/>
      <c r="I587" s="10" t="inlineStr"/>
      <c r="J587" s="10" t="inlineStr"/>
      <c r="K587" s="10" t="inlineStr"/>
      <c r="L587" s="10" t="inlineStr"/>
      <c r="M587" s="10" t="inlineStr"/>
    </row>
    <row r="588">
      <c r="A588" s="10" t="n">
        <v>49</v>
      </c>
      <c r="B588" s="10" t="inlineStr">
        <is>
          <t>CROSS-CUTTING QUALITY CHECKS (run on every build)</t>
        </is>
      </c>
      <c r="C588" s="10" t="inlineStr">
        <is>
          <t>49.5</t>
        </is>
      </c>
      <c r="D588" s="10" t="inlineStr">
        <is>
          <t>Feature</t>
        </is>
      </c>
      <c r="E588" s="10" t="inlineStr">
        <is>
          <t>PLATFORM / DEVICE</t>
        </is>
      </c>
      <c r="F588" s="10" t="inlineStr">
        <is>
          <t>Dark and light mode on every screen; team-colour backgrounds.</t>
        </is>
      </c>
      <c r="G588" s="10" t="inlineStr"/>
      <c r="H588" s="10" t="inlineStr"/>
      <c r="I588" s="10" t="inlineStr"/>
      <c r="J588" s="10" t="inlineStr"/>
      <c r="K588" s="10" t="inlineStr"/>
      <c r="L588" s="10" t="inlineStr"/>
      <c r="M588" s="10" t="inlineStr"/>
    </row>
    <row r="589">
      <c r="A589" s="10" t="n">
        <v>49</v>
      </c>
      <c r="B589" s="10" t="inlineStr">
        <is>
          <t>CROSS-CUTTING QUALITY CHECKS (run on every build)</t>
        </is>
      </c>
      <c r="C589" s="10" t="inlineStr">
        <is>
          <t>49.6</t>
        </is>
      </c>
      <c r="D589" s="10" t="inlineStr">
        <is>
          <t>Feature</t>
        </is>
      </c>
      <c r="E589" s="10" t="inlineStr">
        <is>
          <t>KEYBOARD</t>
        </is>
      </c>
      <c r="F589" s="10" t="inlineStr">
        <is>
          <t>Every form and bottom sheet: focused field visible, Save reachable, no big gap, works with hardware/software keyboards.</t>
        </is>
      </c>
      <c r="G589" s="10" t="inlineStr"/>
      <c r="H589" s="10" t="inlineStr"/>
      <c r="I589" s="10" t="inlineStr"/>
      <c r="J589" s="10" t="inlineStr"/>
      <c r="K589" s="10" t="inlineStr"/>
      <c r="L589" s="10" t="inlineStr"/>
      <c r="M589" s="10" t="inlineStr"/>
    </row>
    <row r="590">
      <c r="A590" s="10" t="n">
        <v>49</v>
      </c>
      <c r="B590" s="10" t="inlineStr">
        <is>
          <t>CROSS-CUTTING QUALITY CHECKS (run on every build)</t>
        </is>
      </c>
      <c r="C590" s="10" t="inlineStr">
        <is>
          <t>49.7</t>
        </is>
      </c>
      <c r="D590" s="10" t="inlineStr">
        <is>
          <t>Feature</t>
        </is>
      </c>
      <c r="E590" s="10" t="inlineStr">
        <is>
          <t>NETWORK</t>
        </is>
      </c>
      <c r="F590" s="10" t="inlineStr">
        <is>
          <t>Airplane mode on: friendly errors, no infinite spinners; data entered is not lost; retry works after reconnect.</t>
        </is>
      </c>
      <c r="G590" s="10" t="inlineStr"/>
      <c r="H590" s="10" t="inlineStr"/>
      <c r="I590" s="10" t="inlineStr"/>
      <c r="J590" s="10" t="inlineStr"/>
      <c r="K590" s="10" t="inlineStr"/>
      <c r="L590" s="10" t="inlineStr"/>
      <c r="M590" s="10" t="inlineStr"/>
    </row>
    <row r="591">
      <c r="A591" s="10" t="n">
        <v>49</v>
      </c>
      <c r="B591" s="10" t="inlineStr">
        <is>
          <t>CROSS-CUTTING QUALITY CHECKS (run on every build)</t>
        </is>
      </c>
      <c r="C591" s="10" t="inlineStr">
        <is>
          <t>49.8</t>
        </is>
      </c>
      <c r="D591" s="10" t="inlineStr">
        <is>
          <t>Feature</t>
        </is>
      </c>
      <c r="E591" s="10" t="inlineStr">
        <is>
          <t>NETWORK</t>
        </is>
      </c>
      <c r="F591" s="10" t="inlineStr">
        <is>
          <t>Slow 3G: progress indicators move; no double submits.</t>
        </is>
      </c>
      <c r="G591" s="10" t="inlineStr"/>
      <c r="H591" s="10" t="inlineStr"/>
      <c r="I591" s="10" t="inlineStr"/>
      <c r="J591" s="10" t="inlineStr"/>
      <c r="K591" s="10" t="inlineStr"/>
      <c r="L591" s="10" t="inlineStr"/>
      <c r="M591" s="10" t="inlineStr"/>
    </row>
    <row r="592">
      <c r="A592" s="10" t="n">
        <v>49</v>
      </c>
      <c r="B592" s="10" t="inlineStr">
        <is>
          <t>CROSS-CUTTING QUALITY CHECKS (run on every build)</t>
        </is>
      </c>
      <c r="C592" s="10" t="inlineStr">
        <is>
          <t>49.9</t>
        </is>
      </c>
      <c r="D592" s="10" t="inlineStr">
        <is>
          <t>Feature</t>
        </is>
      </c>
      <c r="E592" s="10" t="inlineStr">
        <is>
          <t>NETWORK</t>
        </is>
      </c>
      <c r="F592" s="10" t="inlineStr">
        <is>
          <t>Background and resume mid-action (import, export, send, pay).</t>
        </is>
      </c>
      <c r="G592" s="10" t="inlineStr"/>
      <c r="H592" s="10" t="inlineStr"/>
      <c r="I592" s="10" t="inlineStr"/>
      <c r="J592" s="10" t="inlineStr"/>
      <c r="K592" s="10" t="inlineStr"/>
      <c r="L592" s="10" t="inlineStr"/>
      <c r="M592" s="10" t="inlineStr"/>
    </row>
    <row r="593">
      <c r="A593" s="10" t="n">
        <v>49</v>
      </c>
      <c r="B593" s="10" t="inlineStr">
        <is>
          <t>CROSS-CUTTING QUALITY CHECKS (run on every build)</t>
        </is>
      </c>
      <c r="C593" s="10" t="inlineStr">
        <is>
          <t>49.10</t>
        </is>
      </c>
      <c r="D593" s="10" t="inlineStr">
        <is>
          <t>Feature</t>
        </is>
      </c>
      <c r="E593" s="10" t="inlineStr">
        <is>
          <t>NETWORK</t>
        </is>
      </c>
      <c r="F593" s="10" t="inlineStr">
        <is>
          <t>Very large data (999 players, 900+ evaluation players, 50+ events): lists stay smooth, no crash, memory stable.</t>
        </is>
      </c>
      <c r="G593" s="10" t="inlineStr"/>
      <c r="H593" s="10" t="inlineStr"/>
      <c r="I593" s="10" t="inlineStr"/>
      <c r="J593" s="10" t="inlineStr"/>
      <c r="K593" s="10" t="inlineStr"/>
      <c r="L593" s="10" t="inlineStr"/>
      <c r="M593" s="10" t="inlineStr"/>
    </row>
    <row r="594">
      <c r="A594" s="10" t="n">
        <v>49</v>
      </c>
      <c r="B594" s="10" t="inlineStr">
        <is>
          <t>CROSS-CUTTING QUALITY CHECKS (run on every build)</t>
        </is>
      </c>
      <c r="C594" s="10" t="inlineStr">
        <is>
          <t>49.11</t>
        </is>
      </c>
      <c r="D594" s="10" t="inlineStr">
        <is>
          <t>Feature</t>
        </is>
      </c>
      <c r="E594" s="10" t="inlineStr">
        <is>
          <t>NETWORK</t>
        </is>
      </c>
      <c r="F594" s="10" t="inlineStr">
        <is>
          <t>Special characters (accents, apostrophes, commas, emoji, RTL) in names, notes, letters, exports.</t>
        </is>
      </c>
      <c r="G594" s="10" t="inlineStr"/>
      <c r="H594" s="10" t="inlineStr"/>
      <c r="I594" s="10" t="inlineStr"/>
      <c r="J594" s="10" t="inlineStr"/>
      <c r="K594" s="10" t="inlineStr"/>
      <c r="L594" s="10" t="inlineStr"/>
      <c r="M594" s="10" t="inlineStr"/>
    </row>
    <row r="595">
      <c r="A595" s="10" t="n">
        <v>49</v>
      </c>
      <c r="B595" s="10" t="inlineStr">
        <is>
          <t>CROSS-CUTTING QUALITY CHECKS (run on every build)</t>
        </is>
      </c>
      <c r="C595" s="10" t="inlineStr">
        <is>
          <t>49.12</t>
        </is>
      </c>
      <c r="D595" s="10" t="inlineStr">
        <is>
          <t>Feature</t>
        </is>
      </c>
      <c r="E595" s="10" t="inlineStr">
        <is>
          <t>NETWORK</t>
        </is>
      </c>
      <c r="F595" s="10" t="inlineStr">
        <is>
          <t>Duplicate taps on any submit button create only one record.</t>
        </is>
      </c>
      <c r="G595" s="10" t="inlineStr"/>
      <c r="H595" s="10" t="inlineStr"/>
      <c r="I595" s="10" t="inlineStr"/>
      <c r="J595" s="10" t="inlineStr"/>
      <c r="K595" s="10" t="inlineStr"/>
      <c r="L595" s="10" t="inlineStr"/>
      <c r="M595" s="10" t="inlineStr"/>
    </row>
    <row r="596">
      <c r="A596" s="10" t="n">
        <v>49</v>
      </c>
      <c r="B596" s="10" t="inlineStr">
        <is>
          <t>CROSS-CUTTING QUALITY CHECKS (run on every build)</t>
        </is>
      </c>
      <c r="C596" s="10" t="inlineStr">
        <is>
          <t>49.13</t>
        </is>
      </c>
      <c r="D596" s="10" t="inlineStr">
        <is>
          <t>Feature</t>
        </is>
      </c>
      <c r="E596" s="10" t="inlineStr">
        <is>
          <t>NETWORK</t>
        </is>
      </c>
      <c r="F596" s="10" t="inlineStr">
        <is>
          <t>Every mutation failure shows a readable message, never a raw database error; screens with errors offer Retry.</t>
        </is>
      </c>
      <c r="G596" s="10" t="inlineStr"/>
      <c r="H596" s="10" t="inlineStr"/>
      <c r="I596" s="10" t="inlineStr"/>
      <c r="J596" s="10" t="inlineStr"/>
      <c r="K596" s="10" t="inlineStr"/>
      <c r="L596" s="10" t="inlineStr"/>
      <c r="M596" s="10" t="inlineStr"/>
    </row>
    <row r="597">
      <c r="A597" s="10" t="n">
        <v>49</v>
      </c>
      <c r="B597" s="10" t="inlineStr">
        <is>
          <t>CROSS-CUTTING QUALITY CHECKS (run on every build)</t>
        </is>
      </c>
      <c r="C597" s="10" t="inlineStr">
        <is>
          <t>49.14</t>
        </is>
      </c>
      <c r="D597" s="10" t="inlineStr">
        <is>
          <t>Feature</t>
        </is>
      </c>
      <c r="E597" s="10" t="inlineStr">
        <is>
          <t>NETWORK</t>
        </is>
      </c>
      <c r="F597" s="10" t="inlineStr">
        <is>
          <t>No red screens; new yellow warnings compared with the old build.</t>
        </is>
      </c>
      <c r="G597" s="10" t="inlineStr"/>
      <c r="H597" s="10" t="inlineStr"/>
      <c r="I597" s="10" t="inlineStr"/>
      <c r="J597" s="10" t="inlineStr"/>
      <c r="K597" s="10" t="inlineStr"/>
      <c r="L597" s="10" t="inlineStr"/>
      <c r="M597" s="10" t="inlineStr"/>
    </row>
    <row r="598">
      <c r="A598" s="10" t="n">
        <v>49</v>
      </c>
      <c r="B598" s="10" t="inlineStr">
        <is>
          <t>CROSS-CUTTING QUALITY CHECKS (run on every build)</t>
        </is>
      </c>
      <c r="C598" s="10" t="inlineStr">
        <is>
          <t>49.15</t>
        </is>
      </c>
      <c r="D598" s="10" t="inlineStr">
        <is>
          <t>Feature</t>
        </is>
      </c>
      <c r="E598" s="10" t="inlineStr">
        <is>
          <t>ACCESSIBILITY</t>
        </is>
      </c>
      <c r="F598" s="10" t="inlineStr">
        <is>
          <t>Screen reader labels on icon buttons (pencil, trash, back, chat); tap targets at least 44pt.</t>
        </is>
      </c>
      <c r="G598" s="10" t="inlineStr"/>
      <c r="H598" s="10" t="inlineStr"/>
      <c r="I598" s="10" t="inlineStr"/>
      <c r="J598" s="10" t="inlineStr"/>
      <c r="K598" s="10" t="inlineStr"/>
      <c r="L598" s="10" t="inlineStr"/>
      <c r="M598" s="10" t="inlineStr"/>
    </row>
    <row r="599">
      <c r="A599" s="10" t="n">
        <v>49</v>
      </c>
      <c r="B599" s="10" t="inlineStr">
        <is>
          <t>CROSS-CUTTING QUALITY CHECKS (run on every build)</t>
        </is>
      </c>
      <c r="C599" s="10" t="inlineStr">
        <is>
          <t>49.16</t>
        </is>
      </c>
      <c r="D599" s="10" t="inlineStr">
        <is>
          <t>Feature</t>
        </is>
      </c>
      <c r="E599" s="10" t="inlineStr">
        <is>
          <t>PERFORMANCE</t>
        </is>
      </c>
      <c r="F599" s="10" t="inlineStr">
        <is>
          <t>Cold start under a few seconds; tab switches instant; memory after 10 minutes of use stable.</t>
        </is>
      </c>
      <c r="G599" s="10" t="inlineStr"/>
      <c r="H599" s="10" t="inlineStr"/>
      <c r="I599" s="10" t="inlineStr"/>
      <c r="J599" s="10" t="inlineStr"/>
      <c r="K599" s="10" t="inlineStr"/>
      <c r="L599" s="10" t="inlineStr"/>
      <c r="M599" s="10" t="inlineStr"/>
    </row>
    <row r="600">
      <c r="A600" s="10" t="n">
        <v>49</v>
      </c>
      <c r="B600" s="10" t="inlineStr">
        <is>
          <t>CROSS-CUTTING QUALITY CHECKS (run on every build)</t>
        </is>
      </c>
      <c r="C600" s="10" t="inlineStr">
        <is>
          <t>49.17</t>
        </is>
      </c>
      <c r="D600" s="10" t="inlineStr">
        <is>
          <t>Feature</t>
        </is>
      </c>
      <c r="E600" s="10" t="inlineStr">
        <is>
          <t>SECURITY / PRIVACY</t>
        </is>
      </c>
      <c r="F600" s="10" t="inlineStr">
        <is>
          <t>No medical info in exports or letters unless intended; guardian contact hidden from roles that should not see it.</t>
        </is>
      </c>
      <c r="G600" s="10" t="inlineStr"/>
      <c r="H600" s="10" t="inlineStr"/>
      <c r="I600" s="10" t="inlineStr"/>
      <c r="J600" s="10" t="inlineStr"/>
      <c r="K600" s="10" t="inlineStr"/>
      <c r="L600" s="10" t="inlineStr"/>
      <c r="M600" s="10" t="inlineStr"/>
    </row>
    <row r="601">
      <c r="A601" s="10" t="n">
        <v>49</v>
      </c>
      <c r="B601" s="10" t="inlineStr">
        <is>
          <t>CROSS-CUTTING QUALITY CHECKS (run on every build)</t>
        </is>
      </c>
      <c r="C601" s="10" t="inlineStr">
        <is>
          <t>49.18</t>
        </is>
      </c>
      <c r="D601" s="10" t="inlineStr">
        <is>
          <t>Feature</t>
        </is>
      </c>
      <c r="E601" s="10" t="inlineStr">
        <is>
          <t>SECURITY / PRIVACY</t>
        </is>
      </c>
      <c r="F601" s="10" t="inlineStr">
        <is>
          <t>Invite/registration tokens single-use and expire.</t>
        </is>
      </c>
      <c r="G601" s="10" t="inlineStr"/>
      <c r="H601" s="10" t="inlineStr"/>
      <c r="I601" s="10" t="inlineStr"/>
      <c r="J601" s="10" t="inlineStr"/>
      <c r="K601" s="10" t="inlineStr"/>
      <c r="L601" s="10" t="inlineStr"/>
      <c r="M601" s="10" t="inlineStr"/>
    </row>
    <row r="602">
      <c r="A602" s="10" t="n">
        <v>49</v>
      </c>
      <c r="B602" s="10" t="inlineStr">
        <is>
          <t>CROSS-CUTTING QUALITY CHECKS (run on every build)</t>
        </is>
      </c>
      <c r="C602" s="10" t="inlineStr">
        <is>
          <t>49.19</t>
        </is>
      </c>
      <c r="D602" s="10" t="inlineStr">
        <is>
          <t>Feature</t>
        </is>
      </c>
      <c r="E602" s="10" t="inlineStr">
        <is>
          <t>SECURITY / PRIVACY</t>
        </is>
      </c>
      <c r="F602" s="10" t="inlineStr">
        <is>
          <t>Logged-out state shows no cached private data.</t>
        </is>
      </c>
      <c r="G602" s="10" t="inlineStr"/>
      <c r="H602" s="10" t="inlineStr"/>
      <c r="I602" s="10" t="inlineStr"/>
      <c r="J602" s="10" t="inlineStr"/>
      <c r="K602" s="10" t="inlineStr"/>
      <c r="L602" s="10" t="inlineStr"/>
      <c r="M602" s="10" t="inlineStr"/>
    </row>
    <row r="603">
      <c r="A603" s="10" t="n">
        <v>50</v>
      </c>
      <c r="B603" s="10" t="inlineStr">
        <is>
          <t>END-TO-END STORIES (run start to finish on a clean account)</t>
        </is>
      </c>
      <c r="C603" s="10" t="inlineStr">
        <is>
          <t>50.1</t>
        </is>
      </c>
      <c r="D603" s="10" t="inlineStr">
        <is>
          <t>Feature</t>
        </is>
      </c>
      <c r="E603" s="10" t="inlineStr"/>
      <c r="F603" s="10" t="inlineStr">
        <is>
          <t>COACH SEASON: sign up -&gt; create team -&gt; invite manager -&gt; create evaluation for the team -&gt; share QR -&gt; 20 registrations -&gt; select all and add to the team roster -&gt; score players -&gt; results -&gt; Team Builder split + adjust -&gt; send Offer / Decision letters -&gt; export roster -&gt; create schedule events -&gt; guardians RSVP -&gt; team chat.</t>
        </is>
      </c>
      <c r="G603" s="10" t="inlineStr"/>
      <c r="H603" s="10" t="inlineStr"/>
      <c r="I603" s="10" t="inlineStr"/>
      <c r="J603" s="10" t="inlineStr"/>
      <c r="K603" s="10" t="inlineStr"/>
      <c r="L603" s="10" t="inlineStr"/>
      <c r="M603" s="10" t="inlineStr"/>
    </row>
    <row r="604">
      <c r="A604" s="10" t="n">
        <v>50</v>
      </c>
      <c r="B604" s="10" t="inlineStr">
        <is>
          <t>END-TO-END STORIES (run start to finish on a clean account)</t>
        </is>
      </c>
      <c r="C604" s="10" t="inlineStr">
        <is>
          <t>50.2</t>
        </is>
      </c>
      <c r="D604" s="10" t="inlineStr">
        <is>
          <t>Feature</t>
        </is>
      </c>
      <c r="E604" s="10" t="inlineStr"/>
      <c r="F604" s="10" t="inlineStr">
        <is>
          <t>CLUB: upgrade to Club -&gt; add extra teams -&gt; delegate a team to a manager who creates evaluations on the club's plan -&gt; managers invite players -&gt; organization dashboard totals.</t>
        </is>
      </c>
      <c r="G604" s="10" t="inlineStr"/>
      <c r="H604" s="10" t="inlineStr"/>
      <c r="I604" s="10" t="inlineStr"/>
      <c r="J604" s="10" t="inlineStr"/>
      <c r="K604" s="10" t="inlineStr"/>
      <c r="L604" s="10" t="inlineStr"/>
      <c r="M604" s="10" t="inlineStr"/>
    </row>
    <row r="605">
      <c r="A605" s="10" t="n">
        <v>50</v>
      </c>
      <c r="B605" s="10" t="inlineStr">
        <is>
          <t>END-TO-END STORIES (run start to finish on a clean account)</t>
        </is>
      </c>
      <c r="C605" s="10" t="inlineStr">
        <is>
          <t>50.3</t>
        </is>
      </c>
      <c r="D605" s="10" t="inlineStr">
        <is>
          <t>Feature</t>
        </is>
      </c>
      <c r="E605" s="10" t="inlineStr"/>
      <c r="F605" s="10" t="inlineStr">
        <is>
          <t>GUARDIAN: receives invite -&gt; sets password -&gt; sees child under My Athletes and the team schedule -&gt; RSVPs -&gt; pays the fee -&gt; reads the letter -&gt; leaves the team.</t>
        </is>
      </c>
      <c r="G605" s="10" t="inlineStr"/>
      <c r="H605" s="10" t="inlineStr"/>
      <c r="I605" s="10" t="inlineStr"/>
      <c r="J605" s="10" t="inlineStr"/>
      <c r="K605" s="10" t="inlineStr"/>
      <c r="L605" s="10" t="inlineStr"/>
      <c r="M605" s="10" t="inlineStr"/>
    </row>
    <row r="606">
      <c r="A606" s="10" t="n">
        <v>50</v>
      </c>
      <c r="B606" s="10" t="inlineStr">
        <is>
          <t>END-TO-END STORIES (run start to finish on a clean account)</t>
        </is>
      </c>
      <c r="C606" s="10" t="inlineStr">
        <is>
          <t>50.3b</t>
        </is>
      </c>
      <c r="D606" s="10" t="inlineStr">
        <is>
          <t>Feature</t>
        </is>
      </c>
      <c r="E606" s="10" t="inlineStr"/>
      <c r="F606" s="10" t="inlineStr">
        <is>
          <t>ASSESSOR: receives evaluation invite -&gt; accepts -&gt; scores blind -&gt; completes assessing -&gt; coach sees combined results.</t>
        </is>
      </c>
      <c r="G606" s="10" t="inlineStr"/>
      <c r="H606" s="10" t="inlineStr"/>
      <c r="I606" s="10" t="inlineStr"/>
      <c r="J606" s="10" t="inlineStr"/>
      <c r="K606" s="10" t="inlineStr"/>
      <c r="L606" s="10" t="inlineStr"/>
      <c r="M606" s="10" t="inlineStr"/>
    </row>
    <row r="607">
      <c r="A607" s="10" t="n">
        <v>50</v>
      </c>
      <c r="B607" s="10" t="inlineStr">
        <is>
          <t>END-TO-END STORIES (run start to finish on a clean account)</t>
        </is>
      </c>
      <c r="C607" s="10" t="inlineStr">
        <is>
          <t>50.4</t>
        </is>
      </c>
      <c r="D607" s="10" t="inlineStr">
        <is>
          <t>Feature</t>
        </is>
      </c>
      <c r="E607" s="10" t="inlineStr"/>
      <c r="F607" s="10" t="inlineStr">
        <is>
          <t>BILLING: Free -&gt; Coach -&gt; Coach+ (prorated) -&gt; downgrade to Coach (end of term) -&gt; cancel to Free (end of term); limits and gates correct at every step.</t>
        </is>
      </c>
      <c r="G607" s="10" t="inlineStr"/>
      <c r="H607" s="10" t="inlineStr"/>
      <c r="I607" s="10" t="inlineStr"/>
      <c r="J607" s="10" t="inlineStr"/>
      <c r="K607" s="10" t="inlineStr"/>
      <c r="L607" s="10" t="inlineStr"/>
      <c r="M607" s="10" t="inlineStr"/>
    </row>
    <row r="608">
      <c r="A608" s="10" t="n">
        <v>50</v>
      </c>
      <c r="B608" s="10" t="inlineStr">
        <is>
          <t>END-TO-END STORIES (run start to finish on a clean account)</t>
        </is>
      </c>
      <c r="C608" s="10" t="inlineStr">
        <is>
          <t>50.5</t>
        </is>
      </c>
      <c r="D608" s="10" t="inlineStr">
        <is>
          <t>Feature</t>
        </is>
      </c>
      <c r="E608" s="10" t="inlineStr"/>
      <c r="F608" s="10" t="inlineStr">
        <is>
          <t>DATA HYGIENE: delete a player, an evaluation, a team, then the account; nothing orphaned or visible to others.</t>
        </is>
      </c>
      <c r="G608" s="10" t="inlineStr"/>
      <c r="H608" s="10" t="inlineStr"/>
      <c r="I608" s="10" t="inlineStr"/>
      <c r="J608" s="10" t="inlineStr"/>
      <c r="K608" s="10" t="inlineStr"/>
      <c r="L608" s="10" t="inlineStr"/>
      <c r="M608" s="10" t="inlineStr"/>
    </row>
    <row r="609">
      <c r="A609" s="10" t="n">
        <v>51</v>
      </c>
      <c r="B609" s="10" t="inlineStr">
        <is>
          <t>WEB APP PARITY  (branch feat/shawn-feedback-web-parity)</t>
        </is>
      </c>
      <c r="C609" s="10" t="inlineStr">
        <is>
          <t>51.1</t>
        </is>
      </c>
      <c r="D609" s="10" t="inlineStr">
        <is>
          <t>Feature</t>
        </is>
      </c>
      <c r="E609" s="10" t="inlineStr">
        <is>
          <t>REGISTRATIONS</t>
        </is>
      </c>
      <c r="F609" s="10" t="inlineStr">
        <is>
          <t>Tick 2 pending players: ticked cards read "Add 2 to Roster"; a sticky bar shows "2 selected [Clear] [Add 2 to Roster]".</t>
        </is>
      </c>
      <c r="G609" s="10" t="inlineStr"/>
      <c r="H609" s="10" t="inlineStr"/>
      <c r="I609" s="10" t="inlineStr"/>
      <c r="J609" s="10" t="inlineStr"/>
      <c r="K609" s="10" t="inlineStr"/>
      <c r="L609" s="10" t="inlineStr"/>
      <c r="M609" s="10" t="inlineStr"/>
    </row>
    <row r="610">
      <c r="A610" s="10" t="n">
        <v>51</v>
      </c>
      <c r="B610" s="10" t="inlineStr">
        <is>
          <t>WEB APP PARITY  (branch feat/shawn-feedback-web-parity)</t>
        </is>
      </c>
      <c r="C610" s="10" t="inlineStr">
        <is>
          <t>51.2</t>
        </is>
      </c>
      <c r="D610" s="10" t="inlineStr">
        <is>
          <t>Feature</t>
        </is>
      </c>
      <c r="E610" s="10" t="inlineStr">
        <is>
          <t>REGISTRATIONS</t>
        </is>
      </c>
      <c r="F610" s="10" t="inlineStr">
        <is>
          <t>Click the card's "Add 2 to Roster" -&gt; dialog places BOTH, to a team and to an evaluation; progress reaches 2 of 2.</t>
        </is>
      </c>
      <c r="G610" s="10" t="inlineStr"/>
      <c r="H610" s="10" t="inlineStr"/>
      <c r="I610" s="10" t="inlineStr"/>
      <c r="J610" s="10" t="inlineStr"/>
      <c r="K610" s="10" t="inlineStr"/>
      <c r="L610" s="10" t="inlineStr"/>
      <c r="M610" s="10" t="inlineStr"/>
    </row>
    <row r="611">
      <c r="A611" s="10" t="n">
        <v>51</v>
      </c>
      <c r="B611" s="10" t="inlineStr">
        <is>
          <t>WEB APP PARITY  (branch feat/shawn-feedback-web-parity)</t>
        </is>
      </c>
      <c r="C611" s="10" t="inlineStr">
        <is>
          <t>51.3</t>
        </is>
      </c>
      <c r="D611" s="10" t="inlineStr">
        <is>
          <t>Feature</t>
        </is>
      </c>
      <c r="E611" s="10" t="inlineStr">
        <is>
          <t>REGISTRATIONS</t>
        </is>
      </c>
      <c r="F611" s="10" t="inlineStr">
        <is>
          <t>Select All selects pending only; Deselect All clears; dismissed players are never counted or placed.</t>
        </is>
      </c>
      <c r="G611" s="10" t="inlineStr"/>
      <c r="H611" s="10" t="inlineStr"/>
      <c r="I611" s="10" t="inlineStr"/>
      <c r="J611" s="10" t="inlineStr"/>
      <c r="K611" s="10" t="inlineStr"/>
      <c r="L611" s="10" t="inlineStr"/>
      <c r="M611" s="10" t="inlineStr"/>
    </row>
    <row r="612">
      <c r="A612" s="10" t="n">
        <v>51</v>
      </c>
      <c r="B612" s="10" t="inlineStr">
        <is>
          <t>WEB APP PARITY  (branch feat/shawn-feedback-web-parity)</t>
        </is>
      </c>
      <c r="C612" s="10" t="inlineStr">
        <is>
          <t>51.4</t>
        </is>
      </c>
      <c r="D612" s="10" t="inlineStr">
        <is>
          <t>Feature</t>
        </is>
      </c>
      <c r="E612" s="10" t="inlineStr">
        <is>
          <t>REGISTRATIONS</t>
        </is>
      </c>
      <c r="F612" s="10" t="inlineStr">
        <is>
          <t>A single, unticked card still adds just that player.</t>
        </is>
      </c>
      <c r="G612" s="10" t="inlineStr"/>
      <c r="H612" s="10" t="inlineStr"/>
      <c r="I612" s="10" t="inlineStr"/>
      <c r="J612" s="10" t="inlineStr"/>
      <c r="K612" s="10" t="inlineStr"/>
      <c r="L612" s="10" t="inlineStr"/>
      <c r="M612" s="10" t="inlineStr"/>
    </row>
    <row r="613">
      <c r="A613" s="10" t="n">
        <v>51</v>
      </c>
      <c r="B613" s="10" t="inlineStr">
        <is>
          <t>WEB APP PARITY  (branch feat/shawn-feedback-web-parity)</t>
        </is>
      </c>
      <c r="C613" s="10" t="inlineStr">
        <is>
          <t>51.5</t>
        </is>
      </c>
      <c r="D613" s="10" t="inlineStr">
        <is>
          <t>Feature</t>
        </is>
      </c>
      <c r="E613" s="10" t="inlineStr">
        <is>
          <t>ROSTERS</t>
        </is>
      </c>
      <c r="F613" s="10" t="inlineStr">
        <is>
          <t>Team &gt; Players &gt; Select: checkboxes, Select All = whole team (999 on the test team), Delete Selected (N) with confirmation.</t>
        </is>
      </c>
      <c r="G613" s="10" t="inlineStr"/>
      <c r="H613" s="10" t="inlineStr"/>
      <c r="I613" s="10" t="inlineStr"/>
      <c r="J613" s="10" t="inlineStr"/>
      <c r="K613" s="10" t="inlineStr"/>
      <c r="L613" s="10" t="inlineStr"/>
      <c r="M613" s="10" t="inlineStr"/>
    </row>
    <row r="614">
      <c r="A614" s="10" t="n">
        <v>51</v>
      </c>
      <c r="B614" s="10" t="inlineStr">
        <is>
          <t>WEB APP PARITY  (branch feat/shawn-feedback-web-parity)</t>
        </is>
      </c>
      <c r="C614" s="10" t="inlineStr">
        <is>
          <t>51.6</t>
        </is>
      </c>
      <c r="D614" s="10" t="inlineStr">
        <is>
          <t>Feature</t>
        </is>
      </c>
      <c r="E614" s="10" t="inlineStr">
        <is>
          <t>ROSTERS</t>
        </is>
      </c>
      <c r="F614" s="10" t="inlineStr">
        <is>
          <t>With a search typed, Select All selects only the matches.</t>
        </is>
      </c>
      <c r="G614" s="10" t="inlineStr"/>
      <c r="H614" s="10" t="inlineStr"/>
      <c r="I614" s="10" t="inlineStr"/>
      <c r="J614" s="10" t="inlineStr"/>
      <c r="K614" s="10" t="inlineStr"/>
      <c r="L614" s="10" t="inlineStr"/>
      <c r="M614" s="10" t="inlineStr"/>
    </row>
    <row r="615">
      <c r="A615" s="10" t="n">
        <v>51</v>
      </c>
      <c r="B615" s="10" t="inlineStr">
        <is>
          <t>WEB APP PARITY  (branch feat/shawn-feedback-web-parity)</t>
        </is>
      </c>
      <c r="C615" s="10" t="inlineStr">
        <is>
          <t>51.7</t>
        </is>
      </c>
      <c r="D615" s="10" t="inlineStr">
        <is>
          <t>Feature</t>
        </is>
      </c>
      <c r="E615" s="10" t="inlineStr">
        <is>
          <t>ROSTERS</t>
        </is>
      </c>
      <c r="F615" s="10" t="inlineStr">
        <is>
          <t>Leaving the Players tab exits select mode.</t>
        </is>
      </c>
      <c r="G615" s="10" t="inlineStr"/>
      <c r="H615" s="10" t="inlineStr"/>
      <c r="I615" s="10" t="inlineStr"/>
      <c r="J615" s="10" t="inlineStr"/>
      <c r="K615" s="10" t="inlineStr"/>
      <c r="L615" s="10" t="inlineStr"/>
      <c r="M615" s="10" t="inlineStr"/>
    </row>
    <row r="616">
      <c r="A616" s="10" t="n">
        <v>51</v>
      </c>
      <c r="B616" s="10" t="inlineStr">
        <is>
          <t>WEB APP PARITY  (branch feat/shawn-feedback-web-parity)</t>
        </is>
      </c>
      <c r="C616" s="10" t="inlineStr">
        <is>
          <t>51.8</t>
        </is>
      </c>
      <c r="D616" s="10" t="inlineStr">
        <is>
          <t>Feature</t>
        </is>
      </c>
      <c r="E616" s="10" t="inlineStr">
        <is>
          <t>ROSTERS</t>
        </is>
      </c>
      <c r="F616" s="10" t="inlineStr">
        <is>
          <t>Evaluation roster Select All + Delete Selected: all removed; if some fail the message says "X of Y deleted" and the rest stay selected.</t>
        </is>
      </c>
      <c r="G616" s="10" t="inlineStr"/>
      <c r="H616" s="10" t="inlineStr"/>
      <c r="I616" s="10" t="inlineStr"/>
      <c r="J616" s="10" t="inlineStr"/>
      <c r="K616" s="10" t="inlineStr"/>
      <c r="L616" s="10" t="inlineStr"/>
      <c r="M616" s="10" t="inlineStr"/>
    </row>
    <row r="617">
      <c r="A617" s="10" t="n">
        <v>51</v>
      </c>
      <c r="B617" s="10" t="inlineStr">
        <is>
          <t>WEB APP PARITY  (branch feat/shawn-feedback-web-parity)</t>
        </is>
      </c>
      <c r="C617" s="10" t="inlineStr">
        <is>
          <t>51.9</t>
        </is>
      </c>
      <c r="D617" s="10" t="inlineStr">
        <is>
          <t>Feature</t>
        </is>
      </c>
      <c r="E617" s="10" t="inlineStr">
        <is>
          <t>ROSTERS</t>
        </is>
      </c>
      <c r="F617" s="10" t="inlineStr">
        <is>
          <t>Airplane mode / offline during delete: readable error.</t>
        </is>
      </c>
      <c r="G617" s="10" t="inlineStr"/>
      <c r="H617" s="10" t="inlineStr"/>
      <c r="I617" s="10" t="inlineStr"/>
      <c r="J617" s="10" t="inlineStr"/>
      <c r="K617" s="10" t="inlineStr"/>
      <c r="L617" s="10" t="inlineStr"/>
      <c r="M617" s="10" t="inlineStr"/>
    </row>
    <row r="618">
      <c r="A618" s="10" t="n">
        <v>51</v>
      </c>
      <c r="B618" s="10" t="inlineStr">
        <is>
          <t>WEB APP PARITY  (branch feat/shawn-feedback-web-parity)</t>
        </is>
      </c>
      <c r="C618" s="10" t="inlineStr">
        <is>
          <t>51.10</t>
        </is>
      </c>
      <c r="D618" s="10" t="inlineStr">
        <is>
          <t>Feature</t>
        </is>
      </c>
      <c r="E618" s="10" t="inlineStr">
        <is>
          <t>ROSTERS</t>
        </is>
      </c>
      <c r="F618" s="10" t="inlineStr">
        <is>
          <t>Excel with a wrong declared range imports every row (not 1); single Name column; cover sheet first.</t>
        </is>
      </c>
      <c r="G618" s="10" t="inlineStr"/>
      <c r="H618" s="10" t="inlineStr"/>
      <c r="I618" s="10" t="inlineStr"/>
      <c r="J618" s="10" t="inlineStr"/>
      <c r="K618" s="10" t="inlineStr"/>
      <c r="L618" s="10" t="inlineStr"/>
      <c r="M618" s="10" t="inlineStr"/>
    </row>
    <row r="619">
      <c r="A619" s="10" t="n">
        <v>51</v>
      </c>
      <c r="B619" s="10" t="inlineStr">
        <is>
          <t>WEB APP PARITY  (branch feat/shawn-feedback-web-parity)</t>
        </is>
      </c>
      <c r="C619" s="10" t="inlineStr">
        <is>
          <t>51.11</t>
        </is>
      </c>
      <c r="D619" s="10" t="inlineStr">
        <is>
          <t>Feature</t>
        </is>
      </c>
      <c r="E619" s="10" t="inlineStr">
        <is>
          <t>ROSTERS</t>
        </is>
      </c>
      <c r="F619" s="10" t="inlineStr">
        <is>
          <t>20-row CSV/XLSX into an empty team is much faster than before and the summary matches (20 added, jersey/position saved).</t>
        </is>
      </c>
      <c r="G619" s="10" t="inlineStr"/>
      <c r="H619" s="10" t="inlineStr"/>
      <c r="I619" s="10" t="inlineStr"/>
      <c r="J619" s="10" t="inlineStr"/>
      <c r="K619" s="10" t="inlineStr"/>
      <c r="L619" s="10" t="inlineStr"/>
      <c r="M619" s="10" t="inlineStr"/>
    </row>
    <row r="620">
      <c r="A620" s="10" t="n">
        <v>51</v>
      </c>
      <c r="B620" s="10" t="inlineStr">
        <is>
          <t>WEB APP PARITY  (branch feat/shawn-feedback-web-parity)</t>
        </is>
      </c>
      <c r="C620" s="10" t="inlineStr">
        <is>
          <t>51.12</t>
        </is>
      </c>
      <c r="D620" s="10" t="inlineStr">
        <is>
          <t>Feature</t>
        </is>
      </c>
      <c r="E620" s="10" t="inlineStr">
        <is>
          <t>ROSTERS</t>
        </is>
      </c>
      <c r="F620" s="10" t="inlineStr">
        <is>
          <t>A bad row is reported while the others import; siblings share one guardian account.</t>
        </is>
      </c>
      <c r="G620" s="10" t="inlineStr"/>
      <c r="H620" s="10" t="inlineStr"/>
      <c r="I620" s="10" t="inlineStr"/>
      <c r="J620" s="10" t="inlineStr"/>
      <c r="K620" s="10" t="inlineStr"/>
      <c r="L620" s="10" t="inlineStr"/>
      <c r="M620" s="10" t="inlineStr"/>
    </row>
    <row r="621">
      <c r="A621" s="10" t="n">
        <v>51</v>
      </c>
      <c r="B621" s="10" t="inlineStr">
        <is>
          <t>WEB APP PARITY  (branch feat/shawn-feedback-web-parity)</t>
        </is>
      </c>
      <c r="C621" s="10" t="inlineStr">
        <is>
          <t>51.13</t>
        </is>
      </c>
      <c r="D621" s="10" t="inlineStr">
        <is>
          <t>Feature</t>
        </is>
      </c>
      <c r="E621" s="10" t="inlineStr">
        <is>
          <t>TEAM HUB</t>
        </is>
      </c>
      <c r="F621" s="10" t="inlineStr">
        <is>
          <t>Team page header reads "&lt;Team name&gt; Hub"; last tab reads "Options"; ?tab=settings links still open it.</t>
        </is>
      </c>
      <c r="G621" s="10" t="inlineStr"/>
      <c r="H621" s="10" t="inlineStr"/>
      <c r="I621" s="10" t="inlineStr"/>
      <c r="J621" s="10" t="inlineStr"/>
      <c r="K621" s="10" t="inlineStr"/>
      <c r="L621" s="10" t="inlineStr"/>
      <c r="M621" s="10" t="inlineStr"/>
    </row>
    <row r="622">
      <c r="A622" s="10" t="n">
        <v>51</v>
      </c>
      <c r="B622" s="10" t="inlineStr">
        <is>
          <t>WEB APP PARITY  (branch feat/shawn-feedback-web-parity)</t>
        </is>
      </c>
      <c r="C622" s="10" t="inlineStr">
        <is>
          <t>51.14</t>
        </is>
      </c>
      <c r="D622" s="10" t="inlineStr">
        <is>
          <t>Feature</t>
        </is>
      </c>
      <c r="E622" s="10" t="inlineStr">
        <is>
          <t>TEAM HUB</t>
        </is>
      </c>
      <c r="F622" s="10" t="inlineStr">
        <is>
          <t>Options: Export Team Excel and PDF download; 999 players all in the file; no medical info; special characters preserved.</t>
        </is>
      </c>
      <c r="G622" s="10" t="inlineStr"/>
      <c r="H622" s="10" t="inlineStr"/>
      <c r="I622" s="10" t="inlineStr"/>
      <c r="J622" s="10" t="inlineStr"/>
      <c r="K622" s="10" t="inlineStr"/>
      <c r="L622" s="10" t="inlineStr"/>
      <c r="M622" s="10" t="inlineStr"/>
    </row>
    <row r="623">
      <c r="A623" s="10" t="n">
        <v>51</v>
      </c>
      <c r="B623" s="10" t="inlineStr">
        <is>
          <t>WEB APP PARITY  (branch feat/shawn-feedback-web-parity)</t>
        </is>
      </c>
      <c r="C623" s="10" t="inlineStr">
        <is>
          <t>51.15</t>
        </is>
      </c>
      <c r="D623" s="10" t="inlineStr">
        <is>
          <t>Feature</t>
        </is>
      </c>
      <c r="E623" s="10" t="inlineStr">
        <is>
          <t>TEAM HUB</t>
        </is>
      </c>
      <c r="F623" s="10" t="inlineStr">
        <is>
          <t>Options: letter templates listed with Edit / Delete / + New Template; editing saves and a "Template saved" toast shows; same templates on the evaluation Letters page.</t>
        </is>
      </c>
      <c r="G623" s="10" t="inlineStr"/>
      <c r="H623" s="10" t="inlineStr"/>
      <c r="I623" s="10" t="inlineStr"/>
      <c r="J623" s="10" t="inlineStr"/>
      <c r="K623" s="10" t="inlineStr"/>
      <c r="L623" s="10" t="inlineStr"/>
      <c r="M623" s="10" t="inlineStr"/>
    </row>
    <row r="624">
      <c r="A624" s="10" t="n">
        <v>51</v>
      </c>
      <c r="B624" s="10" t="inlineStr">
        <is>
          <t>WEB APP PARITY  (branch feat/shawn-feedback-web-parity)</t>
        </is>
      </c>
      <c r="C624" s="10" t="inlineStr">
        <is>
          <t>51.16</t>
        </is>
      </c>
      <c r="D624" s="10" t="inlineStr">
        <is>
          <t>Feature</t>
        </is>
      </c>
      <c r="E624" s="10" t="inlineStr">
        <is>
          <t>TEAM HUB</t>
        </is>
      </c>
      <c r="F624" s="10" t="inlineStr">
        <is>
          <t>"Send letters" buttons open that evaluation's Letters page.</t>
        </is>
      </c>
      <c r="G624" s="10" t="inlineStr"/>
      <c r="H624" s="10" t="inlineStr"/>
      <c r="I624" s="10" t="inlineStr"/>
      <c r="J624" s="10" t="inlineStr"/>
      <c r="K624" s="10" t="inlineStr"/>
      <c r="L624" s="10" t="inlineStr"/>
      <c r="M624" s="10" t="inlineStr"/>
    </row>
    <row r="625">
      <c r="A625" s="10" t="n">
        <v>51</v>
      </c>
      <c r="B625" s="10" t="inlineStr">
        <is>
          <t>WEB APP PARITY  (branch feat/shawn-feedback-web-parity)</t>
        </is>
      </c>
      <c r="C625" s="10" t="inlineStr">
        <is>
          <t>51.17</t>
        </is>
      </c>
      <c r="D625" s="10" t="inlineStr">
        <is>
          <t>Feature</t>
        </is>
      </c>
      <c r="E625" s="10" t="inlineStr">
        <is>
          <t>EVALUATIONS</t>
        </is>
      </c>
      <c r="F625" s="10" t="inlineStr">
        <is>
          <t>Home Evaluations list and the tile count show standalone evaluations only; team-linked ones are on their team tab.</t>
        </is>
      </c>
      <c r="G625" s="10" t="inlineStr"/>
      <c r="H625" s="10" t="inlineStr"/>
      <c r="I625" s="10" t="inlineStr"/>
      <c r="J625" s="10" t="inlineStr"/>
      <c r="K625" s="10" t="inlineStr"/>
      <c r="L625" s="10" t="inlineStr"/>
      <c r="M625" s="10" t="inlineStr"/>
    </row>
    <row r="626">
      <c r="A626" s="10" t="n">
        <v>51</v>
      </c>
      <c r="B626" s="10" t="inlineStr">
        <is>
          <t>WEB APP PARITY  (branch feat/shawn-feedback-web-parity)</t>
        </is>
      </c>
      <c r="C626" s="10" t="inlineStr">
        <is>
          <t>51.18</t>
        </is>
      </c>
      <c r="D626" s="10" t="inlineStr">
        <is>
          <t>Feature</t>
        </is>
      </c>
      <c r="E626" s="10" t="inlineStr">
        <is>
          <t>EVALUATIONS</t>
        </is>
      </c>
      <c r="F626" s="10" t="inlineStr">
        <is>
          <t>Plan limit still counts all evaluations (Free: 2nd blocked).</t>
        </is>
      </c>
      <c r="G626" s="10" t="inlineStr"/>
      <c r="H626" s="10" t="inlineStr"/>
      <c r="I626" s="10" t="inlineStr"/>
      <c r="J626" s="10" t="inlineStr"/>
      <c r="K626" s="10" t="inlineStr"/>
      <c r="L626" s="10" t="inlineStr"/>
      <c r="M626" s="10" t="inlineStr"/>
    </row>
    <row r="627">
      <c r="A627" s="10" t="n">
        <v>51</v>
      </c>
      <c r="B627" s="10" t="inlineStr">
        <is>
          <t>WEB APP PARITY  (branch feat/shawn-feedback-web-parity)</t>
        </is>
      </c>
      <c r="C627" s="10" t="inlineStr">
        <is>
          <t>51.19</t>
        </is>
      </c>
      <c r="D627" s="10" t="inlineStr">
        <is>
          <t>Feature</t>
        </is>
      </c>
      <c r="E627" s="10" t="inlineStr">
        <is>
          <t>EVALUATIONS</t>
        </is>
      </c>
      <c r="F627" s="10" t="inlineStr">
        <is>
          <t>Evaluation actions dialog: Edit Details opens Settings; Archive and Delete still work.</t>
        </is>
      </c>
      <c r="G627" s="10" t="inlineStr"/>
      <c r="H627" s="10" t="inlineStr"/>
      <c r="I627" s="10" t="inlineStr"/>
      <c r="J627" s="10" t="inlineStr"/>
      <c r="K627" s="10" t="inlineStr"/>
      <c r="L627" s="10" t="inlineStr"/>
      <c r="M627" s="10" t="inlineStr"/>
    </row>
    <row r="628">
      <c r="A628" s="10" t="n">
        <v>51</v>
      </c>
      <c r="B628" s="10" t="inlineStr">
        <is>
          <t>WEB APP PARITY  (branch feat/shawn-feedback-web-parity)</t>
        </is>
      </c>
      <c r="C628" s="10" t="inlineStr">
        <is>
          <t>51.20</t>
        </is>
      </c>
      <c r="D628" s="10" t="inlineStr">
        <is>
          <t>Feature</t>
        </is>
      </c>
      <c r="E628" s="10" t="inlineStr">
        <is>
          <t>EVALUATIONS</t>
        </is>
      </c>
      <c r="F628" s="10" t="inlineStr">
        <is>
          <t>End time before/equal to start is blocked with "End time must be after the start time": New Evaluation, Settings edit, team event create and edit.</t>
        </is>
      </c>
      <c r="G628" s="10" t="inlineStr"/>
      <c r="H628" s="10" t="inlineStr"/>
      <c r="I628" s="10" t="inlineStr"/>
      <c r="J628" s="10" t="inlineStr"/>
      <c r="K628" s="10" t="inlineStr"/>
      <c r="L628" s="10" t="inlineStr"/>
      <c r="M628" s="10" t="inlineStr"/>
    </row>
    <row r="629">
      <c r="A629" s="10" t="n">
        <v>51</v>
      </c>
      <c r="B629" s="10" t="inlineStr">
        <is>
          <t>WEB APP PARITY  (branch feat/shawn-feedback-web-parity)</t>
        </is>
      </c>
      <c r="C629" s="10" t="inlineStr">
        <is>
          <t>51.21</t>
        </is>
      </c>
      <c r="D629" s="10" t="inlineStr">
        <is>
          <t>Feature</t>
        </is>
      </c>
      <c r="E629" s="10" t="inlineStr">
        <is>
          <t>MANAGERS</t>
        </is>
      </c>
      <c r="F629" s="10" t="inlineStr">
        <is>
          <t>A delegated manager sees the team's Evaluations tab and can create evaluations on the owner's plan; own account stays Free.</t>
        </is>
      </c>
      <c r="G629" s="10" t="inlineStr"/>
      <c r="H629" s="10" t="inlineStr"/>
      <c r="I629" s="10" t="inlineStr"/>
      <c r="J629" s="10" t="inlineStr"/>
      <c r="K629" s="10" t="inlineStr"/>
      <c r="L629" s="10" t="inlineStr"/>
      <c r="M629" s="10" t="inlineStr"/>
    </row>
    <row r="630">
      <c r="A630" s="10" t="n">
        <v>51</v>
      </c>
      <c r="B630" s="10" t="inlineStr">
        <is>
          <t>WEB APP PARITY  (branch feat/shawn-feedback-web-parity)</t>
        </is>
      </c>
      <c r="C630" s="10" t="inlineStr">
        <is>
          <t>51.22</t>
        </is>
      </c>
      <c r="D630" s="10" t="inlineStr">
        <is>
          <t>Feature</t>
        </is>
      </c>
      <c r="E630" s="10" t="inlineStr">
        <is>
          <t>MANAGERS</t>
        </is>
      </c>
      <c r="F630" s="10" t="inlineStr">
        <is>
          <t>Team Managers card and New Team copy read "...and can create and run its evaluations - but nothing else on your account."</t>
        </is>
      </c>
      <c r="G630" s="10" t="inlineStr"/>
      <c r="H630" s="10" t="inlineStr"/>
      <c r="I630" s="10" t="inlineStr"/>
      <c r="J630" s="10" t="inlineStr"/>
      <c r="K630" s="10" t="inlineStr"/>
      <c r="L630" s="10" t="inlineStr"/>
      <c r="M630" s="10" t="inlineStr"/>
    </row>
    <row r="631">
      <c r="A631" s="10" t="n">
        <v>51</v>
      </c>
      <c r="B631" s="10" t="inlineStr">
        <is>
          <t>WEB APP PARITY  (branch feat/shawn-feedback-web-parity)</t>
        </is>
      </c>
      <c r="C631" s="10" t="inlineStr">
        <is>
          <t>51.23</t>
        </is>
      </c>
      <c r="D631" s="10" t="inlineStr">
        <is>
          <t>Feature</t>
        </is>
      </c>
      <c r="E631" s="10" t="inlineStr">
        <is>
          <t>BILLING</t>
        </is>
      </c>
      <c r="F631" s="10" t="inlineStr">
        <is>
          <t>Coach -&gt; Coach+ (live subscription) opens the Stripe PORTAL with a prorated amount; dialog says "only pay the difference".</t>
        </is>
      </c>
      <c r="G631" s="10" t="inlineStr"/>
      <c r="H631" s="10" t="inlineStr"/>
      <c r="I631" s="10" t="inlineStr"/>
      <c r="J631" s="10" t="inlineStr"/>
      <c r="K631" s="10" t="inlineStr"/>
      <c r="L631" s="10" t="inlineStr"/>
      <c r="M631" s="10" t="inlineStr"/>
    </row>
    <row r="632">
      <c r="A632" s="10" t="n">
        <v>51</v>
      </c>
      <c r="B632" s="10" t="inlineStr">
        <is>
          <t>WEB APP PARITY  (branch feat/shawn-feedback-web-parity)</t>
        </is>
      </c>
      <c r="C632" s="10" t="inlineStr">
        <is>
          <t>51.24</t>
        </is>
      </c>
      <c r="D632" s="10" t="inlineStr">
        <is>
          <t>Feature</t>
        </is>
      </c>
      <c r="E632" s="10" t="inlineStr">
        <is>
          <t>BILLING</t>
        </is>
      </c>
      <c r="F632" s="10" t="inlineStr">
        <is>
          <t>Downgrade still scheduled for term end; Free -&gt; paid still uses Checkout.</t>
        </is>
      </c>
      <c r="G632" s="10" t="inlineStr"/>
      <c r="H632" s="10" t="inlineStr"/>
      <c r="I632" s="10" t="inlineStr"/>
      <c r="J632" s="10" t="inlineStr"/>
      <c r="K632" s="10" t="inlineStr"/>
      <c r="L632" s="10" t="inlineStr"/>
      <c r="M632" s="10" t="inlineStr"/>
    </row>
    <row r="633">
      <c r="A633" s="10" t="n">
        <v>51</v>
      </c>
      <c r="B633" s="10" t="inlineStr">
        <is>
          <t>WEB APP PARITY  (branch feat/shawn-feedback-web-parity)</t>
        </is>
      </c>
      <c r="C633" s="10" t="inlineStr">
        <is>
          <t>51.25</t>
        </is>
      </c>
      <c r="D633" s="10" t="inlineStr">
        <is>
          <t>Feature</t>
        </is>
      </c>
      <c r="E633" s="10" t="inlineStr">
        <is>
          <t>REGRESSION</t>
        </is>
      </c>
      <c r="F633" s="10" t="inlineStr">
        <is>
          <t>Team Builder (web) drag and drop unchanged; team detail page, chat, schedule, RSVP unchanged.</t>
        </is>
      </c>
      <c r="G633" s="10" t="inlineStr"/>
      <c r="H633" s="10" t="inlineStr"/>
      <c r="I633" s="10" t="inlineStr"/>
      <c r="J633" s="10" t="inlineStr"/>
      <c r="K633" s="10" t="inlineStr"/>
      <c r="L633" s="10" t="inlineStr"/>
      <c r="M633" s="10" t="inlineStr"/>
    </row>
    <row r="634">
      <c r="A634" s="10" t="n">
        <v>51</v>
      </c>
      <c r="B634" s="10" t="inlineStr">
        <is>
          <t>WEB APP PARITY  (branch feat/shawn-feedback-web-parity)</t>
        </is>
      </c>
      <c r="C634" s="10" t="inlineStr">
        <is>
          <t>51.26</t>
        </is>
      </c>
      <c r="D634" s="10" t="inlineStr">
        <is>
          <t>Feature</t>
        </is>
      </c>
      <c r="E634" s="10" t="inlineStr">
        <is>
          <t>REGRESSION</t>
        </is>
      </c>
      <c r="F634" s="10" t="inlineStr">
        <is>
          <t>Dark and light theme, mobile-width browser layout, keyboard use of all new buttons.</t>
        </is>
      </c>
      <c r="G634" s="10" t="inlineStr"/>
      <c r="H634" s="10" t="inlineStr"/>
      <c r="I634" s="10" t="inlineStr"/>
      <c r="J634" s="10" t="inlineStr"/>
      <c r="K634" s="10" t="inlineStr"/>
      <c r="L634" s="10" t="inlineStr"/>
      <c r="M634" s="10" t="inlineStr"/>
    </row>
    <row r="635">
      <c r="A635" s="10" t="n">
        <v>51</v>
      </c>
      <c r="B635" s="10" t="inlineStr">
        <is>
          <t>WEB APP PARITY  (branch feat/shawn-feedback-web-parity)</t>
        </is>
      </c>
      <c r="C635" s="10" t="inlineStr">
        <is>
          <t>51.27</t>
        </is>
      </c>
      <c r="D635" s="10" t="inlineStr">
        <is>
          <t>Feature</t>
        </is>
      </c>
      <c r="E635" s="10" t="inlineStr">
        <is>
          <t>REGRESSION</t>
        </is>
      </c>
      <c r="F635" s="10" t="inlineStr">
        <is>
          <t>No console errors on the touched pages.</t>
        </is>
      </c>
      <c r="G635" s="10" t="inlineStr"/>
      <c r="H635" s="10" t="inlineStr"/>
      <c r="I635" s="10" t="inlineStr"/>
      <c r="J635" s="10" t="inlineStr"/>
      <c r="K635" s="10" t="inlineStr"/>
      <c r="L635" s="10" t="inlineStr"/>
      <c r="M635" s="10" t="inlineStr"/>
    </row>
  </sheetData>
  <autoFilter ref="A1:M635"/>
  <conditionalFormatting sqref="I2:I635">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I2:I635" showDropDown="0" showInputMessage="0" showErrorMessage="0" allowBlank="1" type="list">
      <formula1>"Pass,Fail,Blocked,N/A"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2026-09-21T16:48:43Z</dcterms:created>
  <dcterms:modified xsi:type="dcterms:W3CDTF">2026-09-21T16:48:43Z</dcterms:modified>
</cp:coreProperties>
</file>